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6124" codeName="{F2B83AC3-3A92-4FF1-8D57-CA5CB3A19BB1}"/>
  <workbookPr filterPrivacy="1" codeName="ThisWorkbook"/>
  <mc:AlternateContent xmlns:mc="http://schemas.openxmlformats.org/markup-compatibility/2006">
    <mc:Choice Requires="x15">
      <x15ac:absPath xmlns:x15ac="http://schemas.microsoft.com/office/spreadsheetml/2010/11/ac" url="/Users/icybiscuit/Downloads/"/>
    </mc:Choice>
  </mc:AlternateContent>
  <workbookProtection workbookAlgorithmName="SHA-512" workbookHashValue="x4/U2GXIMcgQhr6Q5w2D2RESHiNpnmP/1AybSR9M3fqxM8adqDQn4HHRKNrmFKtcTqvJvZsiim0zROrjyxZVCw==" workbookSaltValue="RPPMVcFCWQ+Yhd7fuAbIsg==" workbookSpinCount="100000" lockStructure="1"/>
  <bookViews>
    <workbookView xWindow="980" yWindow="460" windowWidth="27820" windowHeight="17540" tabRatio="926" activeTab="3"/>
  </bookViews>
  <sheets>
    <sheet name="基本测量" sheetId="15" r:id="rId1"/>
    <sheet name="薄透镜焦距" sheetId="1" r:id="rId2"/>
    <sheet name="杨氏模量" sheetId="2" r:id="rId3"/>
    <sheet name="PN结" sheetId="3" r:id="rId4"/>
    <sheet name="电表改装" sheetId="4" r:id="rId5"/>
    <sheet name="金属比热容" sheetId="5" r:id="rId6"/>
    <sheet name="牛顿环" sheetId="6" r:id="rId7"/>
    <sheet name="表面张力" sheetId="7" r:id="rId8"/>
    <sheet name="超声光栅" sheetId="8" r:id="rId9"/>
    <sheet name="电位差计" sheetId="9" r:id="rId10"/>
    <sheet name="弗兰克赫兹实验" sheetId="10" r:id="rId11"/>
    <sheet name="霍尔效应" sheetId="11" r:id="rId12"/>
    <sheet name="迈克尔逊干涉仪" sheetId="12" r:id="rId13"/>
    <sheet name="声速的测量" sheetId="13" r:id="rId14"/>
    <sheet name="RLC谐振电路" sheetId="14" r:id="rId15"/>
  </sheets>
  <calcPr calcId="162913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5" l="1"/>
  <c r="B13" i="15"/>
  <c r="C13" i="15"/>
  <c r="D13" i="15"/>
  <c r="D19" i="15"/>
  <c r="E19" i="15"/>
  <c r="E29" i="15"/>
  <c r="I19" i="15"/>
  <c r="D20" i="15"/>
  <c r="E20" i="15"/>
  <c r="D21" i="15"/>
  <c r="E21" i="15"/>
  <c r="D22" i="15"/>
  <c r="E22" i="15"/>
  <c r="D23" i="15"/>
  <c r="E23" i="15"/>
  <c r="D24" i="15"/>
  <c r="E24" i="15"/>
  <c r="D25" i="15"/>
  <c r="E25" i="15"/>
  <c r="D26" i="15"/>
  <c r="E26" i="15"/>
  <c r="D27" i="15"/>
  <c r="E27" i="15"/>
  <c r="D28" i="15"/>
  <c r="E28" i="15"/>
  <c r="B29" i="15"/>
  <c r="C29" i="15"/>
  <c r="E31" i="15"/>
  <c r="C15" i="15"/>
  <c r="D15" i="15"/>
  <c r="B15" i="15"/>
  <c r="N3" i="15"/>
  <c r="N5" i="15"/>
  <c r="N7" i="15"/>
  <c r="N9" i="15"/>
  <c r="N10" i="15"/>
  <c r="N4" i="15"/>
  <c r="N6" i="15"/>
  <c r="N8" i="15"/>
  <c r="N12" i="15"/>
  <c r="N11" i="15"/>
  <c r="O10" i="15"/>
  <c r="O3" i="15"/>
  <c r="O14" i="15"/>
  <c r="L3" i="15"/>
  <c r="L14" i="15"/>
  <c r="L16" i="15"/>
  <c r="O5" i="15"/>
  <c r="O7" i="15"/>
  <c r="O9" i="15"/>
  <c r="O4" i="15"/>
  <c r="O6" i="15"/>
  <c r="O8" i="15"/>
  <c r="O12" i="15"/>
  <c r="O11" i="15"/>
  <c r="O19" i="15"/>
  <c r="O21" i="15"/>
  <c r="O22" i="15"/>
  <c r="O23" i="15"/>
  <c r="O25" i="15"/>
  <c r="O26" i="15"/>
  <c r="O27" i="15"/>
  <c r="O28" i="15"/>
  <c r="O20" i="15"/>
  <c r="O24" i="15"/>
  <c r="P11" i="15"/>
  <c r="P4" i="15"/>
  <c r="P6" i="15"/>
  <c r="P8" i="15"/>
  <c r="P12" i="15"/>
  <c r="P10" i="15"/>
  <c r="P3" i="15"/>
  <c r="P14" i="15"/>
  <c r="M3" i="15"/>
  <c r="M14" i="15"/>
  <c r="M16" i="15"/>
  <c r="P5" i="15"/>
  <c r="P7" i="15"/>
  <c r="P9" i="15"/>
  <c r="R3" i="15"/>
  <c r="D29" i="15"/>
  <c r="G14" i="14"/>
  <c r="F14" i="14"/>
  <c r="E14" i="14"/>
  <c r="G13" i="14"/>
  <c r="F13" i="14"/>
  <c r="E13" i="14"/>
  <c r="G12" i="14"/>
  <c r="F12" i="14"/>
  <c r="E12" i="14"/>
  <c r="G11" i="14"/>
  <c r="F11" i="14"/>
  <c r="E11" i="14"/>
  <c r="G10" i="14"/>
  <c r="F10" i="14"/>
  <c r="E10" i="14"/>
  <c r="G9" i="14"/>
  <c r="F9" i="14"/>
  <c r="E9" i="14"/>
  <c r="G8" i="14"/>
  <c r="F8" i="14"/>
  <c r="E8" i="14"/>
  <c r="G7" i="14"/>
  <c r="F7" i="14"/>
  <c r="E7" i="14"/>
  <c r="G6" i="14"/>
  <c r="F6" i="14"/>
  <c r="E6" i="14"/>
  <c r="G5" i="14"/>
  <c r="F5" i="14"/>
  <c r="E5" i="14"/>
  <c r="G4" i="14"/>
  <c r="F4" i="14"/>
  <c r="E4" i="14"/>
  <c r="J7" i="14"/>
  <c r="J11" i="14"/>
  <c r="I16" i="14"/>
  <c r="J17" i="14"/>
  <c r="J19" i="14"/>
  <c r="J21" i="14"/>
  <c r="J23" i="14"/>
  <c r="I24" i="14"/>
  <c r="J6" i="14"/>
  <c r="J25" i="14"/>
  <c r="H29" i="14"/>
  <c r="I29" i="14"/>
  <c r="H31" i="14"/>
  <c r="H33" i="14"/>
  <c r="L9" i="13"/>
  <c r="O14" i="13"/>
  <c r="L14" i="13"/>
  <c r="O13" i="13"/>
  <c r="L13" i="13"/>
  <c r="O12" i="13"/>
  <c r="L12" i="13"/>
  <c r="O11" i="13"/>
  <c r="L11" i="13"/>
  <c r="O10" i="13"/>
  <c r="L10" i="13"/>
  <c r="O9" i="13"/>
  <c r="P15" i="13"/>
  <c r="M15" i="13"/>
  <c r="I5" i="12"/>
  <c r="H5" i="12"/>
  <c r="G5" i="12"/>
  <c r="F5" i="12"/>
  <c r="E5" i="12"/>
  <c r="J45" i="11"/>
  <c r="K45" i="11"/>
  <c r="E45" i="11"/>
  <c r="K44" i="11"/>
  <c r="J44" i="11"/>
  <c r="E44" i="11"/>
  <c r="J43" i="11"/>
  <c r="K43" i="11"/>
  <c r="E43" i="11"/>
  <c r="J42" i="11"/>
  <c r="K42" i="11"/>
  <c r="E42" i="11"/>
  <c r="J41" i="11"/>
  <c r="K41" i="11"/>
  <c r="E41" i="11"/>
  <c r="J40" i="11"/>
  <c r="K40" i="11"/>
  <c r="E40" i="11"/>
  <c r="J39" i="11"/>
  <c r="K39" i="11"/>
  <c r="E39" i="11"/>
  <c r="J38" i="11"/>
  <c r="K38" i="11"/>
  <c r="E38" i="11"/>
  <c r="J37" i="11"/>
  <c r="K37" i="11"/>
  <c r="E37" i="11"/>
  <c r="K36" i="11"/>
  <c r="J36" i="11"/>
  <c r="E36" i="11"/>
  <c r="J35" i="11"/>
  <c r="K35" i="11"/>
  <c r="E35" i="11"/>
  <c r="J34" i="11"/>
  <c r="K34" i="11"/>
  <c r="E34" i="11"/>
  <c r="J33" i="11"/>
  <c r="K33" i="11"/>
  <c r="E33" i="11"/>
  <c r="J32" i="11"/>
  <c r="K32" i="11"/>
  <c r="E32" i="11"/>
  <c r="J31" i="11"/>
  <c r="K31" i="11"/>
  <c r="E31" i="11"/>
  <c r="J30" i="11"/>
  <c r="K30" i="11"/>
  <c r="E30" i="11"/>
  <c r="J29" i="11"/>
  <c r="K29" i="11"/>
  <c r="E29" i="11"/>
  <c r="H24" i="11"/>
  <c r="I24" i="11"/>
  <c r="H23" i="11"/>
  <c r="I23" i="11"/>
  <c r="H22" i="11"/>
  <c r="I22" i="11"/>
  <c r="I21" i="11"/>
  <c r="H21" i="11"/>
  <c r="H20" i="11"/>
  <c r="I20" i="11"/>
  <c r="H13" i="11"/>
  <c r="I13" i="11"/>
  <c r="H12" i="11"/>
  <c r="I12" i="11"/>
  <c r="H11" i="11"/>
  <c r="I11" i="11"/>
  <c r="I10" i="11"/>
  <c r="H10" i="11"/>
  <c r="H9" i="11"/>
  <c r="I9" i="11"/>
  <c r="H8" i="11"/>
  <c r="I8" i="11"/>
  <c r="H7" i="11"/>
  <c r="I7" i="11"/>
  <c r="J7" i="11"/>
  <c r="F79" i="10"/>
  <c r="E79" i="10"/>
  <c r="F78" i="10"/>
  <c r="E78" i="10"/>
  <c r="F77" i="10"/>
  <c r="E77" i="10"/>
  <c r="F76" i="10"/>
  <c r="E76" i="10"/>
  <c r="F75" i="10"/>
  <c r="E75" i="10"/>
  <c r="F74" i="10"/>
  <c r="E74" i="10"/>
  <c r="F73" i="10"/>
  <c r="E73" i="10"/>
  <c r="F72" i="10"/>
  <c r="E72" i="10"/>
  <c r="F71" i="10"/>
  <c r="E71" i="10"/>
  <c r="F70" i="10"/>
  <c r="E70" i="10"/>
  <c r="F69" i="10"/>
  <c r="E69" i="10"/>
  <c r="F68" i="10"/>
  <c r="E68" i="10"/>
  <c r="F67" i="10"/>
  <c r="E67" i="10"/>
  <c r="F66" i="10"/>
  <c r="E66" i="10"/>
  <c r="F65" i="10"/>
  <c r="E65" i="10"/>
  <c r="F64" i="10"/>
  <c r="E64" i="10"/>
  <c r="F63" i="10"/>
  <c r="E63" i="10"/>
  <c r="F62" i="10"/>
  <c r="E62" i="10"/>
  <c r="F61" i="10"/>
  <c r="E61" i="10"/>
  <c r="F60" i="10"/>
  <c r="E60" i="10"/>
  <c r="P59" i="10"/>
  <c r="O59" i="10"/>
  <c r="F59" i="10"/>
  <c r="E59" i="10"/>
  <c r="F58" i="10"/>
  <c r="E58" i="10"/>
  <c r="F57" i="10"/>
  <c r="E57" i="10"/>
  <c r="F56" i="10"/>
  <c r="E56" i="10"/>
  <c r="F55" i="10"/>
  <c r="E55" i="10"/>
  <c r="F54" i="10"/>
  <c r="E54" i="10"/>
  <c r="F53" i="10"/>
  <c r="E53" i="10"/>
  <c r="F52" i="10"/>
  <c r="E52" i="10"/>
  <c r="F51" i="10"/>
  <c r="E51" i="10"/>
  <c r="R50" i="10"/>
  <c r="Q50" i="10"/>
  <c r="P50" i="10"/>
  <c r="F50" i="10"/>
  <c r="E50" i="10"/>
  <c r="F49" i="10"/>
  <c r="E49" i="10"/>
  <c r="F48" i="10"/>
  <c r="E48" i="10"/>
  <c r="F47" i="10"/>
  <c r="E47" i="10"/>
  <c r="F46" i="10"/>
  <c r="E46" i="10"/>
  <c r="F45" i="10"/>
  <c r="E45" i="10"/>
  <c r="F44" i="10"/>
  <c r="E44" i="10"/>
  <c r="F43" i="10"/>
  <c r="E43" i="10"/>
  <c r="F42" i="10"/>
  <c r="E42" i="10"/>
  <c r="F41" i="10"/>
  <c r="E41" i="10"/>
  <c r="F40" i="10"/>
  <c r="E40" i="10"/>
  <c r="F39" i="10"/>
  <c r="E39" i="10"/>
  <c r="F38" i="10"/>
  <c r="E38" i="10"/>
  <c r="F37" i="10"/>
  <c r="E37" i="10"/>
  <c r="F36" i="10"/>
  <c r="E36" i="10"/>
  <c r="F35" i="10"/>
  <c r="E35" i="10"/>
  <c r="F34" i="10"/>
  <c r="E34" i="10"/>
  <c r="F33" i="10"/>
  <c r="E33" i="10"/>
  <c r="F32" i="10"/>
  <c r="E32" i="10"/>
  <c r="F31" i="10"/>
  <c r="E31" i="10"/>
  <c r="F30" i="10"/>
  <c r="E30" i="10"/>
  <c r="F29" i="10"/>
  <c r="E29" i="10"/>
  <c r="F28" i="10"/>
  <c r="E28" i="10"/>
  <c r="F27" i="10"/>
  <c r="E27" i="10"/>
  <c r="F26" i="10"/>
  <c r="E26" i="10"/>
  <c r="F25" i="10"/>
  <c r="E25" i="10"/>
  <c r="F24" i="10"/>
  <c r="E24" i="10"/>
  <c r="F23" i="10"/>
  <c r="E23" i="10"/>
  <c r="F22" i="10"/>
  <c r="E22" i="10"/>
  <c r="F21" i="10"/>
  <c r="E21" i="10"/>
  <c r="F20" i="10"/>
  <c r="E20" i="10"/>
  <c r="F19" i="10"/>
  <c r="E19" i="10"/>
  <c r="F18" i="10"/>
  <c r="E18" i="10"/>
  <c r="F17" i="10"/>
  <c r="E17" i="10"/>
  <c r="F16" i="10"/>
  <c r="E16" i="10"/>
  <c r="F15" i="10"/>
  <c r="E15" i="10"/>
  <c r="F14" i="10"/>
  <c r="E14" i="10"/>
  <c r="F13" i="10"/>
  <c r="E13" i="10"/>
  <c r="F12" i="10"/>
  <c r="E12" i="10"/>
  <c r="F11" i="10"/>
  <c r="E11" i="10"/>
  <c r="F10" i="10"/>
  <c r="E10" i="10"/>
  <c r="F9" i="10"/>
  <c r="E9" i="10"/>
  <c r="F8" i="10"/>
  <c r="E8" i="10"/>
  <c r="F7" i="10"/>
  <c r="E7" i="10"/>
  <c r="F6" i="10"/>
  <c r="E6" i="10"/>
  <c r="F5" i="10"/>
  <c r="E5" i="10"/>
  <c r="F4" i="10"/>
  <c r="E4" i="10"/>
  <c r="E14" i="9"/>
  <c r="F14" i="9"/>
  <c r="G14" i="9"/>
  <c r="E13" i="9"/>
  <c r="F13" i="9"/>
  <c r="G13" i="9"/>
  <c r="E12" i="9"/>
  <c r="F12" i="9"/>
  <c r="G12" i="9"/>
  <c r="E11" i="9"/>
  <c r="F11" i="9"/>
  <c r="G11" i="9"/>
  <c r="E10" i="9"/>
  <c r="F10" i="9"/>
  <c r="G10" i="9"/>
  <c r="E9" i="9"/>
  <c r="F9" i="9"/>
  <c r="G9" i="9"/>
  <c r="E8" i="9"/>
  <c r="F8" i="9"/>
  <c r="G8" i="9"/>
  <c r="E7" i="9"/>
  <c r="F7" i="9"/>
  <c r="G7" i="9"/>
  <c r="E6" i="9"/>
  <c r="F6" i="9"/>
  <c r="G6" i="9"/>
  <c r="E5" i="9"/>
  <c r="F5" i="9"/>
  <c r="G5" i="9"/>
  <c r="E3" i="8"/>
  <c r="E7" i="8"/>
  <c r="G11" i="8"/>
  <c r="G12" i="8"/>
  <c r="E4" i="8"/>
  <c r="G13" i="8"/>
  <c r="E5" i="8"/>
  <c r="G14" i="8"/>
  <c r="E6" i="8"/>
  <c r="H18" i="8"/>
  <c r="I20" i="7"/>
  <c r="H20" i="7"/>
  <c r="G20" i="7"/>
  <c r="F20" i="7"/>
  <c r="E20" i="7"/>
  <c r="D20" i="7"/>
  <c r="C20" i="7"/>
  <c r="B20" i="7"/>
  <c r="G29" i="7"/>
  <c r="G28" i="7"/>
  <c r="G27" i="7"/>
  <c r="G26" i="7"/>
  <c r="G25" i="7"/>
  <c r="G30" i="7"/>
  <c r="E9" i="7"/>
  <c r="B9" i="7"/>
  <c r="E8" i="7"/>
  <c r="B8" i="7"/>
  <c r="E7" i="7"/>
  <c r="B7" i="7"/>
  <c r="E6" i="7"/>
  <c r="B6" i="7"/>
  <c r="E5" i="7"/>
  <c r="B5" i="7"/>
  <c r="E4" i="7"/>
  <c r="B4" i="7"/>
  <c r="E3" i="7"/>
  <c r="B3" i="7"/>
  <c r="E2" i="7"/>
  <c r="B2" i="7"/>
  <c r="D31" i="15"/>
  <c r="R5" i="15"/>
  <c r="N14" i="15"/>
  <c r="K3" i="15"/>
  <c r="K14" i="15"/>
  <c r="K16" i="15"/>
  <c r="N24" i="15"/>
  <c r="N27" i="15"/>
  <c r="N26" i="15"/>
  <c r="N21" i="15"/>
  <c r="N22" i="15"/>
  <c r="N25" i="15"/>
  <c r="N28" i="15"/>
  <c r="N20" i="15"/>
  <c r="N23" i="15"/>
  <c r="N19" i="15"/>
  <c r="O30" i="15"/>
  <c r="L19" i="15"/>
  <c r="L30" i="15"/>
  <c r="L32" i="15"/>
  <c r="J24" i="14"/>
  <c r="J15" i="14"/>
  <c r="J12" i="14"/>
  <c r="J8" i="14"/>
  <c r="J4" i="14"/>
  <c r="J22" i="14"/>
  <c r="J20" i="14"/>
  <c r="J18" i="14"/>
  <c r="J16" i="14"/>
  <c r="J13" i="14"/>
  <c r="J9" i="14"/>
  <c r="J5" i="14"/>
  <c r="J14" i="14"/>
  <c r="J10" i="14"/>
  <c r="D6" i="12"/>
  <c r="K7" i="11"/>
  <c r="J20" i="11"/>
  <c r="K20" i="11"/>
  <c r="P52" i="10"/>
  <c r="G16" i="9"/>
  <c r="H14" i="8"/>
  <c r="H13" i="8"/>
  <c r="H12" i="8"/>
  <c r="H11" i="8"/>
  <c r="H17" i="8"/>
  <c r="I12" i="8"/>
  <c r="F3" i="8"/>
  <c r="R7" i="15"/>
  <c r="S3" i="15"/>
  <c r="S7" i="15"/>
  <c r="S12" i="15"/>
  <c r="N30" i="15"/>
  <c r="K19" i="15"/>
  <c r="K30" i="15"/>
  <c r="K32" i="15"/>
  <c r="L26" i="11"/>
  <c r="M26" i="11"/>
  <c r="S5" i="15"/>
  <c r="M23" i="6"/>
  <c r="N23" i="6"/>
  <c r="O23" i="6"/>
  <c r="L23" i="6"/>
  <c r="D23" i="6"/>
  <c r="E23" i="6"/>
  <c r="B35" i="6"/>
  <c r="M22" i="6"/>
  <c r="N22" i="6"/>
  <c r="O22" i="6"/>
  <c r="L22" i="6"/>
  <c r="D22" i="6"/>
  <c r="E22" i="6"/>
  <c r="B34" i="6"/>
  <c r="N21" i="6"/>
  <c r="O21" i="6"/>
  <c r="M21" i="6"/>
  <c r="L21" i="6"/>
  <c r="D21" i="6"/>
  <c r="E21" i="6"/>
  <c r="B33" i="6"/>
  <c r="M20" i="6"/>
  <c r="N20" i="6"/>
  <c r="O20" i="6"/>
  <c r="L20" i="6"/>
  <c r="D20" i="6"/>
  <c r="E20" i="6"/>
  <c r="B32" i="6"/>
  <c r="M19" i="6"/>
  <c r="N19" i="6"/>
  <c r="O19" i="6"/>
  <c r="L19" i="6"/>
  <c r="D19" i="6"/>
  <c r="E19" i="6"/>
  <c r="B31" i="6"/>
  <c r="M18" i="6"/>
  <c r="L18" i="6"/>
  <c r="D18" i="6"/>
  <c r="E18" i="6"/>
  <c r="B30" i="6"/>
  <c r="M17" i="6"/>
  <c r="N17" i="6"/>
  <c r="O17" i="6"/>
  <c r="L17" i="6"/>
  <c r="D17" i="6"/>
  <c r="E17" i="6"/>
  <c r="B29" i="6"/>
  <c r="M16" i="6"/>
  <c r="L16" i="6"/>
  <c r="D16" i="6"/>
  <c r="E16" i="6"/>
  <c r="B28" i="6"/>
  <c r="M15" i="6"/>
  <c r="L15" i="6"/>
  <c r="N15" i="6"/>
  <c r="O15" i="6"/>
  <c r="D15" i="6"/>
  <c r="E15" i="6"/>
  <c r="B27" i="6"/>
  <c r="M14" i="6"/>
  <c r="N14" i="6"/>
  <c r="O14" i="6"/>
  <c r="L14" i="6"/>
  <c r="D14" i="6"/>
  <c r="E14" i="6"/>
  <c r="B26" i="6"/>
  <c r="M11" i="6"/>
  <c r="N11" i="6"/>
  <c r="O11" i="6"/>
  <c r="L11" i="6"/>
  <c r="D11" i="6"/>
  <c r="E11" i="6"/>
  <c r="M10" i="6"/>
  <c r="L10" i="6"/>
  <c r="D10" i="6"/>
  <c r="E10" i="6"/>
  <c r="N9" i="6"/>
  <c r="O9" i="6"/>
  <c r="M9" i="6"/>
  <c r="L9" i="6"/>
  <c r="D9" i="6"/>
  <c r="E9" i="6"/>
  <c r="M8" i="6"/>
  <c r="N8" i="6"/>
  <c r="O8" i="6"/>
  <c r="L8" i="6"/>
  <c r="D8" i="6"/>
  <c r="E8" i="6"/>
  <c r="M7" i="6"/>
  <c r="N7" i="6"/>
  <c r="O7" i="6"/>
  <c r="L7" i="6"/>
  <c r="D7" i="6"/>
  <c r="E7" i="6"/>
  <c r="M6" i="6"/>
  <c r="L6" i="6"/>
  <c r="D6" i="6"/>
  <c r="E6" i="6"/>
  <c r="M5" i="6"/>
  <c r="N5" i="6"/>
  <c r="O5" i="6"/>
  <c r="L5" i="6"/>
  <c r="D5" i="6"/>
  <c r="E5" i="6"/>
  <c r="M4" i="6"/>
  <c r="L4" i="6"/>
  <c r="D4" i="6"/>
  <c r="E4" i="6"/>
  <c r="M3" i="6"/>
  <c r="N3" i="6"/>
  <c r="O3" i="6"/>
  <c r="L3" i="6"/>
  <c r="D3" i="6"/>
  <c r="E3" i="6"/>
  <c r="M2" i="6"/>
  <c r="L2" i="6"/>
  <c r="D2" i="6"/>
  <c r="E2" i="6"/>
  <c r="G3" i="5"/>
  <c r="I3" i="5"/>
  <c r="G4" i="5"/>
  <c r="G2" i="5"/>
  <c r="B24" i="5"/>
  <c r="B25" i="5"/>
  <c r="B26" i="5"/>
  <c r="B27" i="5"/>
  <c r="B28" i="5"/>
  <c r="B29" i="5"/>
  <c r="B30" i="5"/>
  <c r="B31" i="5"/>
  <c r="B32" i="5"/>
  <c r="B33" i="5"/>
  <c r="B34" i="5"/>
  <c r="B35" i="5"/>
  <c r="M2" i="5"/>
  <c r="B7" i="5"/>
  <c r="B8" i="5"/>
  <c r="B9" i="5"/>
  <c r="D8" i="5"/>
  <c r="C24" i="5"/>
  <c r="D9" i="5"/>
  <c r="C25" i="5"/>
  <c r="B10" i="5"/>
  <c r="B11" i="5"/>
  <c r="D11" i="5"/>
  <c r="C27" i="5"/>
  <c r="B12" i="5"/>
  <c r="B13" i="5"/>
  <c r="D12" i="5"/>
  <c r="C28" i="5"/>
  <c r="B14" i="5"/>
  <c r="D15" i="5"/>
  <c r="C31" i="5"/>
  <c r="B15" i="5"/>
  <c r="D14" i="5"/>
  <c r="C30" i="5"/>
  <c r="B16" i="5"/>
  <c r="B17" i="5"/>
  <c r="D16" i="5"/>
  <c r="C32" i="5"/>
  <c r="D17" i="5"/>
  <c r="C33" i="5"/>
  <c r="B18" i="5"/>
  <c r="B19" i="5"/>
  <c r="D19" i="5"/>
  <c r="C35" i="5"/>
  <c r="B20" i="5"/>
  <c r="J27" i="2"/>
  <c r="C27" i="2"/>
  <c r="D28" i="2"/>
  <c r="I21" i="2"/>
  <c r="E18" i="2"/>
  <c r="E17" i="2"/>
  <c r="E16" i="2"/>
  <c r="E15" i="2"/>
  <c r="E14" i="2"/>
  <c r="E13" i="2"/>
  <c r="E12" i="2"/>
  <c r="E11" i="2"/>
  <c r="P8" i="2"/>
  <c r="P6" i="2"/>
  <c r="P4" i="2"/>
  <c r="P2" i="2"/>
  <c r="K2" i="2"/>
  <c r="I2" i="2"/>
  <c r="H2" i="2"/>
  <c r="G2" i="2"/>
  <c r="N18" i="6"/>
  <c r="O18" i="6"/>
  <c r="N16" i="6"/>
  <c r="O16" i="6"/>
  <c r="L35" i="6"/>
  <c r="M35" i="6"/>
  <c r="E35" i="6"/>
  <c r="L29" i="6"/>
  <c r="M29" i="6"/>
  <c r="E29" i="6"/>
  <c r="L31" i="6"/>
  <c r="M31" i="6"/>
  <c r="N2" i="6"/>
  <c r="O2" i="6"/>
  <c r="L26" i="6"/>
  <c r="M26" i="6"/>
  <c r="N10" i="6"/>
  <c r="O10" i="6"/>
  <c r="L34" i="6"/>
  <c r="M34" i="6"/>
  <c r="E34" i="6"/>
  <c r="N6" i="6"/>
  <c r="O6" i="6"/>
  <c r="L30" i="6"/>
  <c r="M30" i="6"/>
  <c r="N4" i="6"/>
  <c r="O4" i="6"/>
  <c r="L28" i="6"/>
  <c r="M28" i="6"/>
  <c r="A31" i="6"/>
  <c r="C31" i="6"/>
  <c r="A27" i="6"/>
  <c r="C27" i="6"/>
  <c r="A28" i="6"/>
  <c r="C28" i="6"/>
  <c r="L32" i="6"/>
  <c r="M32" i="6"/>
  <c r="L33" i="6"/>
  <c r="M33" i="6"/>
  <c r="A35" i="6"/>
  <c r="C35" i="6"/>
  <c r="E28" i="6"/>
  <c r="A32" i="6"/>
  <c r="C32" i="6"/>
  <c r="L27" i="6"/>
  <c r="M27" i="6"/>
  <c r="C29" i="6"/>
  <c r="A29" i="6"/>
  <c r="C30" i="6"/>
  <c r="A30" i="6"/>
  <c r="A26" i="6"/>
  <c r="C26" i="6"/>
  <c r="E30" i="6"/>
  <c r="E31" i="6"/>
  <c r="A33" i="6"/>
  <c r="C33" i="6"/>
  <c r="C34" i="6"/>
  <c r="A34" i="6"/>
  <c r="I2" i="5"/>
  <c r="I4" i="5"/>
  <c r="D18" i="5"/>
  <c r="C34" i="5"/>
  <c r="D13" i="5"/>
  <c r="C29" i="5"/>
  <c r="D10" i="5"/>
  <c r="C26" i="5"/>
  <c r="R4" i="5"/>
  <c r="S4" i="5"/>
  <c r="Q4" i="5"/>
  <c r="P4" i="5"/>
  <c r="T4" i="5"/>
  <c r="S3" i="5"/>
  <c r="P3" i="5"/>
  <c r="T3" i="5"/>
  <c r="R3" i="5"/>
  <c r="Q3" i="5"/>
  <c r="P2" i="5"/>
  <c r="T2" i="5"/>
  <c r="Q2" i="5"/>
  <c r="R2" i="5"/>
  <c r="S2" i="5"/>
  <c r="C23" i="2"/>
  <c r="C22" i="2"/>
  <c r="C24" i="2"/>
  <c r="C21" i="2"/>
  <c r="D21" i="2"/>
  <c r="D27" i="2"/>
  <c r="D30" i="2"/>
  <c r="D29" i="2"/>
  <c r="D31" i="2"/>
  <c r="E33" i="6"/>
  <c r="E26" i="6"/>
  <c r="N26" i="6"/>
  <c r="E32" i="6"/>
  <c r="E27" i="6"/>
  <c r="U4" i="5"/>
  <c r="O4" i="5"/>
  <c r="U3" i="5"/>
  <c r="O3" i="5"/>
  <c r="U2" i="5"/>
  <c r="O2" i="5"/>
  <c r="R21" i="2"/>
  <c r="J23" i="2"/>
  <c r="J24" i="2"/>
  <c r="J22" i="2"/>
  <c r="K29" i="2"/>
  <c r="E27" i="2"/>
  <c r="J21" i="2"/>
  <c r="O35" i="6"/>
  <c r="O30" i="6"/>
  <c r="O29" i="6"/>
  <c r="O34" i="6"/>
  <c r="O28" i="6"/>
  <c r="O31" i="6"/>
  <c r="O32" i="6"/>
  <c r="O33" i="6"/>
  <c r="F26" i="6"/>
  <c r="O27" i="6"/>
  <c r="O26" i="6"/>
  <c r="H21" i="2"/>
  <c r="F21" i="2"/>
  <c r="F25" i="2"/>
  <c r="S27" i="2"/>
  <c r="B34" i="2"/>
  <c r="K28" i="2"/>
  <c r="K30" i="2"/>
  <c r="K27" i="2"/>
  <c r="K31" i="2"/>
  <c r="G28" i="6"/>
  <c r="I28" i="6"/>
  <c r="G34" i="6"/>
  <c r="I34" i="6"/>
  <c r="G35" i="6"/>
  <c r="I35" i="6"/>
  <c r="G29" i="6"/>
  <c r="I29" i="6"/>
  <c r="G31" i="6"/>
  <c r="I31" i="6"/>
  <c r="G30" i="6"/>
  <c r="I30" i="6"/>
  <c r="G33" i="6"/>
  <c r="I33" i="6"/>
  <c r="G26" i="6"/>
  <c r="G32" i="6"/>
  <c r="I32" i="6"/>
  <c r="G27" i="6"/>
  <c r="I27" i="6"/>
  <c r="L2" i="2"/>
  <c r="I27" i="2"/>
  <c r="G27" i="2"/>
  <c r="I26" i="6"/>
  <c r="H26" i="6"/>
  <c r="H36" i="6"/>
  <c r="J2" i="2"/>
  <c r="B36" i="2"/>
  <c r="B38" i="2"/>
  <c r="G32" i="2"/>
  <c r="D46" i="1"/>
  <c r="D47" i="1"/>
  <c r="C43" i="1"/>
  <c r="C44" i="1"/>
  <c r="C45" i="1"/>
  <c r="C46" i="1"/>
  <c r="C47" i="1"/>
  <c r="C42" i="1"/>
  <c r="B43" i="1"/>
  <c r="D43" i="1"/>
  <c r="B44" i="1"/>
  <c r="B45" i="1"/>
  <c r="B46" i="1"/>
  <c r="B47" i="1"/>
  <c r="B42" i="1"/>
  <c r="B48" i="1"/>
  <c r="J28" i="1"/>
  <c r="J22" i="1"/>
  <c r="J23" i="1"/>
  <c r="J24" i="1"/>
  <c r="J25" i="1"/>
  <c r="J26" i="1"/>
  <c r="J27" i="1"/>
  <c r="I22" i="1"/>
  <c r="I23" i="1"/>
  <c r="I24" i="1"/>
  <c r="I25" i="1"/>
  <c r="I26" i="1"/>
  <c r="I27" i="1"/>
  <c r="G26" i="1"/>
  <c r="G27" i="1"/>
  <c r="E22" i="1"/>
  <c r="E23" i="1"/>
  <c r="E24" i="1"/>
  <c r="E25" i="1"/>
  <c r="E26" i="1"/>
  <c r="E27" i="1"/>
  <c r="B23" i="1"/>
  <c r="B24" i="1"/>
  <c r="G24" i="1"/>
  <c r="B25" i="1"/>
  <c r="G25" i="1"/>
  <c r="B26" i="1"/>
  <c r="B27" i="1"/>
  <c r="B22" i="1"/>
  <c r="B28" i="1"/>
  <c r="B8" i="1"/>
  <c r="C8" i="1"/>
  <c r="D3" i="1"/>
  <c r="D4" i="1"/>
  <c r="D5" i="1"/>
  <c r="D6" i="1"/>
  <c r="D8" i="1"/>
  <c r="D7" i="1"/>
  <c r="D2" i="1"/>
  <c r="D44" i="1"/>
  <c r="C48" i="1"/>
  <c r="D45" i="1"/>
  <c r="D42" i="1"/>
  <c r="E28" i="1"/>
  <c r="G23" i="1"/>
  <c r="G22" i="1"/>
  <c r="H22" i="1"/>
  <c r="E2" i="1"/>
  <c r="E42" i="1"/>
  <c r="F3" i="1"/>
  <c r="G3" i="1"/>
  <c r="F5" i="1"/>
  <c r="G5" i="1"/>
  <c r="F2" i="1"/>
  <c r="G2" i="1"/>
  <c r="F6" i="1"/>
  <c r="G6" i="1"/>
  <c r="F4" i="1"/>
  <c r="G4" i="1"/>
  <c r="F7" i="1"/>
  <c r="G7" i="1"/>
  <c r="F46" i="1"/>
  <c r="G46" i="1"/>
  <c r="F47" i="1"/>
  <c r="G47" i="1"/>
  <c r="F45" i="1"/>
  <c r="G45" i="1"/>
  <c r="F44" i="1"/>
  <c r="G44" i="1"/>
  <c r="F43" i="1"/>
  <c r="G43" i="1"/>
  <c r="F42" i="1"/>
  <c r="G42" i="1"/>
  <c r="G48" i="1"/>
  <c r="G8" i="1"/>
</calcChain>
</file>

<file path=xl/sharedStrings.xml><?xml version="1.0" encoding="utf-8"?>
<sst xmlns="http://schemas.openxmlformats.org/spreadsheetml/2006/main" count="435" uniqueCount="333">
  <si>
    <t>k</t>
    <phoneticPr fontId="1" type="noConversion"/>
  </si>
  <si>
    <t>透镜距离</t>
    <phoneticPr fontId="1" type="noConversion"/>
  </si>
  <si>
    <t>屏位置</t>
    <phoneticPr fontId="1" type="noConversion"/>
  </si>
  <si>
    <t>焦距f</t>
    <phoneticPr fontId="1" type="noConversion"/>
  </si>
  <si>
    <t>△f</t>
    <phoneticPr fontId="3" type="noConversion"/>
  </si>
  <si>
    <t>平均值</t>
    <phoneticPr fontId="1" type="noConversion"/>
  </si>
  <si>
    <t>|△f|</t>
    <phoneticPr fontId="3" type="noConversion"/>
  </si>
  <si>
    <t>自准法</t>
    <phoneticPr fontId="1" type="noConversion"/>
  </si>
  <si>
    <t>位置一</t>
    <phoneticPr fontId="1" type="noConversion"/>
  </si>
  <si>
    <t>位置二</t>
    <phoneticPr fontId="1" type="noConversion"/>
  </si>
  <si>
    <t>D</t>
    <phoneticPr fontId="1" type="noConversion"/>
  </si>
  <si>
    <t>d</t>
    <phoneticPr fontId="1" type="noConversion"/>
  </si>
  <si>
    <t>f</t>
    <phoneticPr fontId="1" type="noConversion"/>
  </si>
  <si>
    <t>△f</t>
    <phoneticPr fontId="3" type="noConversion"/>
  </si>
  <si>
    <t>|△f|</t>
    <phoneticPr fontId="3" type="noConversion"/>
  </si>
  <si>
    <t>位移法</t>
    <phoneticPr fontId="1" type="noConversion"/>
  </si>
  <si>
    <t>虚像位置</t>
    <phoneticPr fontId="1" type="noConversion"/>
  </si>
  <si>
    <t>凹透镜位置</t>
    <phoneticPr fontId="1" type="noConversion"/>
  </si>
  <si>
    <t>屏位置</t>
    <phoneticPr fontId="1" type="noConversion"/>
  </si>
  <si>
    <t>u</t>
    <phoneticPr fontId="1" type="noConversion"/>
  </si>
  <si>
    <t>v</t>
    <phoneticPr fontId="1" type="noConversion"/>
  </si>
  <si>
    <t>f</t>
    <phoneticPr fontId="1" type="noConversion"/>
  </si>
  <si>
    <t>凹透镜</t>
    <phoneticPr fontId="1" type="noConversion"/>
  </si>
  <si>
    <t>金属丝长度L/cm</t>
    <phoneticPr fontId="3" type="noConversion"/>
  </si>
  <si>
    <t>仪器误差/mm</t>
    <phoneticPr fontId="3" type="noConversion"/>
  </si>
  <si>
    <t>E</t>
    <phoneticPr fontId="3" type="noConversion"/>
  </si>
  <si>
    <t>F</t>
    <phoneticPr fontId="3" type="noConversion"/>
  </si>
  <si>
    <t>L</t>
    <phoneticPr fontId="3" type="noConversion"/>
  </si>
  <si>
    <t>D</t>
    <phoneticPr fontId="3" type="noConversion"/>
  </si>
  <si>
    <t>d</t>
    <phoneticPr fontId="3" type="noConversion"/>
  </si>
  <si>
    <t>b</t>
    <phoneticPr fontId="3" type="noConversion"/>
  </si>
  <si>
    <t>l</t>
    <phoneticPr fontId="3" type="noConversion"/>
  </si>
  <si>
    <t>国际单位</t>
    <phoneticPr fontId="3" type="noConversion"/>
  </si>
  <si>
    <t>金属丝长度L/cm</t>
  </si>
  <si>
    <t>仪器误差/mm</t>
  </si>
  <si>
    <t>D/cm</t>
    <phoneticPr fontId="3" type="noConversion"/>
  </si>
  <si>
    <t>误差/mm</t>
    <phoneticPr fontId="3" type="noConversion"/>
  </si>
  <si>
    <t>D/cm</t>
  </si>
  <si>
    <t>误差/mm</t>
  </si>
  <si>
    <t>b</t>
    <phoneticPr fontId="3" type="noConversion"/>
  </si>
  <si>
    <t>误差/mm</t>
    <phoneticPr fontId="3" type="noConversion"/>
  </si>
  <si>
    <t>b</t>
  </si>
  <si>
    <t>砝码/g</t>
    <phoneticPr fontId="3" type="noConversion"/>
  </si>
  <si>
    <t>误差/g</t>
    <phoneticPr fontId="3" type="noConversion"/>
  </si>
  <si>
    <t>砝码/g</t>
  </si>
  <si>
    <t>误差/g</t>
  </si>
  <si>
    <t>r</t>
    <phoneticPr fontId="3" type="noConversion"/>
  </si>
  <si>
    <t>r</t>
  </si>
  <si>
    <t>k</t>
    <phoneticPr fontId="3" type="noConversion"/>
  </si>
  <si>
    <t>质量/g</t>
    <phoneticPr fontId="3" type="noConversion"/>
  </si>
  <si>
    <t>r1</t>
    <phoneticPr fontId="3" type="noConversion"/>
  </si>
  <si>
    <t>r2</t>
    <phoneticPr fontId="3" type="noConversion"/>
  </si>
  <si>
    <t>r平均</t>
    <phoneticPr fontId="3" type="noConversion"/>
  </si>
  <si>
    <t>k</t>
  </si>
  <si>
    <t>质量/g</t>
  </si>
  <si>
    <t>r1</t>
  </si>
  <si>
    <t>r2</t>
  </si>
  <si>
    <t>r平均</t>
  </si>
  <si>
    <t>Dr</t>
  </si>
  <si>
    <t>tp</t>
  </si>
  <si>
    <t>DA</t>
  </si>
  <si>
    <t>DB</t>
  </si>
  <si>
    <t>平均值差值平方</t>
  </si>
  <si>
    <t>l</t>
    <phoneticPr fontId="3" type="noConversion"/>
  </si>
  <si>
    <t>l</t>
  </si>
  <si>
    <t>l/cm</t>
    <phoneticPr fontId="3" type="noConversion"/>
  </si>
  <si>
    <t>平均/cm</t>
    <phoneticPr fontId="3" type="noConversion"/>
  </si>
  <si>
    <t>仪器误差/mm</t>
    <phoneticPr fontId="3" type="noConversion"/>
  </si>
  <si>
    <t>Dr</t>
    <phoneticPr fontId="3" type="noConversion"/>
  </si>
  <si>
    <t>tp</t>
    <phoneticPr fontId="3" type="noConversion"/>
  </si>
  <si>
    <t>DA</t>
    <phoneticPr fontId="3" type="noConversion"/>
  </si>
  <si>
    <t>DB</t>
    <phoneticPr fontId="3" type="noConversion"/>
  </si>
  <si>
    <t>平均值差值平方</t>
    <phoneticPr fontId="3" type="noConversion"/>
  </si>
  <si>
    <t>l/cm</t>
  </si>
  <si>
    <t>平均/cm</t>
  </si>
  <si>
    <t>d测量/mm</t>
    <phoneticPr fontId="3" type="noConversion"/>
  </si>
  <si>
    <t>修正</t>
    <phoneticPr fontId="3" type="noConversion"/>
  </si>
  <si>
    <t>d真实/mm</t>
    <phoneticPr fontId="3" type="noConversion"/>
  </si>
  <si>
    <t>平均</t>
    <phoneticPr fontId="3" type="noConversion"/>
  </si>
  <si>
    <t>仪器误差/mm</t>
    <phoneticPr fontId="3" type="noConversion"/>
  </si>
  <si>
    <t>Dd</t>
    <phoneticPr fontId="3" type="noConversion"/>
  </si>
  <si>
    <t>tp</t>
    <phoneticPr fontId="3" type="noConversion"/>
  </si>
  <si>
    <t>DA</t>
    <phoneticPr fontId="3" type="noConversion"/>
  </si>
  <si>
    <t>平均值差值平方</t>
    <phoneticPr fontId="3" type="noConversion"/>
  </si>
  <si>
    <t>d测量/mm</t>
  </si>
  <si>
    <t>修正</t>
  </si>
  <si>
    <t>d真实/mm</t>
  </si>
  <si>
    <t>平均</t>
  </si>
  <si>
    <t>Dd</t>
  </si>
  <si>
    <t>杨氏模量</t>
    <phoneticPr fontId="3" type="noConversion"/>
  </si>
  <si>
    <t>δE</t>
    <phoneticPr fontId="3" type="noConversion"/>
  </si>
  <si>
    <t>正向</t>
    <phoneticPr fontId="3" type="noConversion"/>
  </si>
  <si>
    <t>k</t>
    <phoneticPr fontId="3" type="noConversion"/>
  </si>
  <si>
    <t>U(V)</t>
    <phoneticPr fontId="3" type="noConversion"/>
  </si>
  <si>
    <t>I(mA)</t>
    <phoneticPr fontId="3" type="noConversion"/>
  </si>
  <si>
    <t>反向</t>
    <phoneticPr fontId="3" type="noConversion"/>
  </si>
  <si>
    <t>k</t>
    <phoneticPr fontId="3" type="noConversion"/>
  </si>
  <si>
    <t>U(V)</t>
    <phoneticPr fontId="3" type="noConversion"/>
  </si>
  <si>
    <t>I(mA)</t>
    <phoneticPr fontId="3" type="noConversion"/>
  </si>
  <si>
    <t>辅助数据</t>
    <phoneticPr fontId="1" type="noConversion"/>
  </si>
  <si>
    <t>辅助数据已隐藏</t>
    <phoneticPr fontId="1" type="noConversion"/>
  </si>
  <si>
    <t>改装电流表示数/mA</t>
    <phoneticPr fontId="3" type="noConversion"/>
  </si>
  <si>
    <t>标准表示数/mA</t>
    <phoneticPr fontId="3" type="noConversion"/>
  </si>
  <si>
    <t>改装电压表示数/V</t>
    <phoneticPr fontId="3" type="noConversion"/>
  </si>
  <si>
    <t>标准表示数/</t>
    <phoneticPr fontId="3" type="noConversion"/>
  </si>
  <si>
    <t>并没有计算</t>
    <phoneticPr fontId="1" type="noConversion"/>
  </si>
  <si>
    <t>斜率</t>
    <phoneticPr fontId="3" type="noConversion"/>
  </si>
  <si>
    <t>时间/s</t>
    <phoneticPr fontId="3" type="noConversion"/>
  </si>
  <si>
    <t>温度</t>
    <phoneticPr fontId="3" type="noConversion"/>
  </si>
  <si>
    <t>电压/mV</t>
    <phoneticPr fontId="3" type="noConversion"/>
  </si>
  <si>
    <t>Al</t>
    <phoneticPr fontId="3" type="noConversion"/>
  </si>
  <si>
    <t>Cu</t>
    <phoneticPr fontId="3" type="noConversion"/>
  </si>
  <si>
    <t>Fe</t>
    <phoneticPr fontId="3" type="noConversion"/>
  </si>
  <si>
    <t>δa</t>
    <phoneticPr fontId="3" type="noConversion"/>
  </si>
  <si>
    <t>δt</t>
    <phoneticPr fontId="3" type="noConversion"/>
  </si>
  <si>
    <t>tp</t>
    <phoneticPr fontId="3" type="noConversion"/>
  </si>
  <si>
    <t>δb</t>
    <phoneticPr fontId="3" type="noConversion"/>
  </si>
  <si>
    <t>δ仪</t>
    <phoneticPr fontId="3" type="noConversion"/>
  </si>
  <si>
    <t>C/Cu</t>
    <phoneticPr fontId="3" type="noConversion"/>
  </si>
  <si>
    <t>M</t>
    <phoneticPr fontId="3" type="noConversion"/>
  </si>
  <si>
    <t>C</t>
    <phoneticPr fontId="3" type="noConversion"/>
  </si>
  <si>
    <t>δT</t>
    <phoneticPr fontId="3" type="noConversion"/>
  </si>
  <si>
    <t>平均值</t>
    <phoneticPr fontId="3" type="noConversion"/>
  </si>
  <si>
    <t>次数</t>
    <phoneticPr fontId="3" type="noConversion"/>
  </si>
  <si>
    <t>中间数据</t>
    <phoneticPr fontId="1" type="noConversion"/>
  </si>
  <si>
    <t>作图数据</t>
    <phoneticPr fontId="1" type="noConversion"/>
  </si>
  <si>
    <t>环的级数/m</t>
    <phoneticPr fontId="1" type="noConversion"/>
  </si>
  <si>
    <t>右侧（mm）</t>
    <phoneticPr fontId="1" type="noConversion"/>
  </si>
  <si>
    <t>左侧（mm）</t>
    <phoneticPr fontId="1" type="noConversion"/>
  </si>
  <si>
    <t>环的直径（mm）</t>
    <phoneticPr fontId="1" type="noConversion"/>
  </si>
  <si>
    <t>Dm^2/mm^2</t>
    <phoneticPr fontId="1" type="noConversion"/>
  </si>
  <si>
    <t>环的级数/m</t>
  </si>
  <si>
    <t>右侧（mm）</t>
  </si>
  <si>
    <t>左侧（mm）</t>
  </si>
  <si>
    <t>环的直径（mm）</t>
  </si>
  <si>
    <t>Dm^2</t>
  </si>
  <si>
    <t>环的级数/n</t>
    <phoneticPr fontId="1" type="noConversion"/>
  </si>
  <si>
    <t>右侧（mm）</t>
    <phoneticPr fontId="1" type="noConversion"/>
  </si>
  <si>
    <t>环的直径（mm）</t>
    <phoneticPr fontId="1" type="noConversion"/>
  </si>
  <si>
    <t>Dn^2/mm^2</t>
    <phoneticPr fontId="1" type="noConversion"/>
  </si>
  <si>
    <t>环的级数/n</t>
  </si>
  <si>
    <t>Dn^2</t>
  </si>
  <si>
    <t>Dm^2/mm^2</t>
  </si>
  <si>
    <t>Dn^2/mm^2</t>
  </si>
  <si>
    <t>Dm^2 - Dn^2</t>
    <phoneticPr fontId="1" type="noConversion"/>
  </si>
  <si>
    <t>λ/nm</t>
    <phoneticPr fontId="1" type="noConversion"/>
  </si>
  <si>
    <t>R/m</t>
    <phoneticPr fontId="1" type="noConversion"/>
  </si>
  <si>
    <t>R(Ave)/m</t>
    <phoneticPr fontId="1" type="noConversion"/>
  </si>
  <si>
    <t>R - R(Ave)</t>
    <phoneticPr fontId="1" type="noConversion"/>
  </si>
  <si>
    <t>ΔR</t>
    <phoneticPr fontId="1" type="noConversion"/>
  </si>
  <si>
    <t>？？？</t>
    <phoneticPr fontId="1" type="noConversion"/>
  </si>
  <si>
    <t>λ</t>
  </si>
  <si>
    <t>Dm^2 - Dn^2</t>
  </si>
  <si>
    <t>R</t>
  </si>
  <si>
    <t>R(Ave)</t>
  </si>
  <si>
    <t>ΔR</t>
  </si>
  <si>
    <t>处理过程→</t>
    <phoneticPr fontId="1" type="noConversion"/>
  </si>
  <si>
    <t>砝码/g</t>
    <rPh sb="0" eb="1">
      <t>fa'ma</t>
    </rPh>
    <phoneticPr fontId="1" type="noConversion"/>
  </si>
  <si>
    <t>F/N</t>
    <phoneticPr fontId="1" type="noConversion"/>
  </si>
  <si>
    <t>电压+/mV</t>
    <rPh sb="0" eb="1">
      <t>dian'ya</t>
    </rPh>
    <phoneticPr fontId="1" type="noConversion"/>
  </si>
  <si>
    <t>电压-/mV</t>
    <rPh sb="0" eb="1">
      <t>dian'ya</t>
    </rPh>
    <phoneticPr fontId="1" type="noConversion"/>
  </si>
  <si>
    <t>电压平均值/mV</t>
    <rPh sb="0" eb="1">
      <t>dian'ya'ping'jun'hzi</t>
    </rPh>
    <phoneticPr fontId="1" type="noConversion"/>
  </si>
  <si>
    <t>测定力传感器灵敏度</t>
  </si>
  <si>
    <t>F/N</t>
  </si>
  <si>
    <t>测定水的表面张力系数</t>
  </si>
  <si>
    <t>次数</t>
    <rPh sb="0" eb="1">
      <t>ci'shu</t>
    </rPh>
    <phoneticPr fontId="1" type="noConversion"/>
  </si>
  <si>
    <t>U1/mV</t>
    <phoneticPr fontId="1" type="noConversion"/>
  </si>
  <si>
    <t>U2/mV</t>
    <phoneticPr fontId="1" type="noConversion"/>
  </si>
  <si>
    <t>D1/mm</t>
    <phoneticPr fontId="1" type="noConversion"/>
  </si>
  <si>
    <t>D2/mm</t>
    <phoneticPr fontId="1" type="noConversion"/>
  </si>
  <si>
    <t>B/(V/N)</t>
    <phoneticPr fontId="1" type="noConversion"/>
  </si>
  <si>
    <t>平均值</t>
    <rPh sb="0" eb="1">
      <t>ping'jun'zhi</t>
    </rPh>
    <phoneticPr fontId="1" type="noConversion"/>
  </si>
  <si>
    <t>单位忘了</t>
    <phoneticPr fontId="1" type="noConversion"/>
  </si>
  <si>
    <t>δvB</t>
    <phoneticPr fontId="1" type="noConversion"/>
  </si>
  <si>
    <t>δvA</t>
    <phoneticPr fontId="1" type="noConversion"/>
  </si>
  <si>
    <t>δv</t>
    <phoneticPr fontId="1" type="noConversion"/>
  </si>
  <si>
    <t>λ</t>
    <phoneticPr fontId="1" type="noConversion"/>
  </si>
  <si>
    <t>Y4</t>
  </si>
  <si>
    <t>Y3</t>
  </si>
  <si>
    <t>Y2</t>
    <phoneticPr fontId="1" type="noConversion"/>
  </si>
  <si>
    <t>Y1</t>
    <phoneticPr fontId="1" type="noConversion"/>
  </si>
  <si>
    <t>Y0</t>
    <phoneticPr fontId="1" type="noConversion"/>
  </si>
  <si>
    <t>Ev</t>
    <phoneticPr fontId="1" type="noConversion"/>
  </si>
  <si>
    <t>u (m/s)</t>
    <phoneticPr fontId="1" type="noConversion"/>
  </si>
  <si>
    <t>μ</t>
    <phoneticPr fontId="1" type="noConversion"/>
  </si>
  <si>
    <t>d/mm</t>
    <phoneticPr fontId="1" type="noConversion"/>
  </si>
  <si>
    <t>误差计算</t>
    <phoneticPr fontId="1" type="noConversion"/>
  </si>
  <si>
    <t>I/µA</t>
    <phoneticPr fontId="1" type="noConversion"/>
  </si>
  <si>
    <t>校准值</t>
    <rPh sb="0" eb="1">
      <t>jiao'zhun'zhi</t>
    </rPh>
    <phoneticPr fontId="1" type="noConversion"/>
  </si>
  <si>
    <t>△I/µA</t>
    <phoneticPr fontId="1" type="noConversion"/>
  </si>
  <si>
    <t>上行</t>
    <rPh sb="0" eb="1">
      <t>shang'xing</t>
    </rPh>
    <phoneticPr fontId="1" type="noConversion"/>
  </si>
  <si>
    <t>下行</t>
    <rPh sb="0" eb="1">
      <t>xia'xing</t>
    </rPh>
    <phoneticPr fontId="1" type="noConversion"/>
  </si>
  <si>
    <t>电压/mV</t>
    <rPh sb="0" eb="1">
      <t>dian'ya</t>
    </rPh>
    <phoneticPr fontId="1" type="noConversion"/>
  </si>
  <si>
    <t>电流/µA</t>
    <rPh sb="0" eb="1">
      <t>dian'liu</t>
    </rPh>
    <phoneticPr fontId="1" type="noConversion"/>
  </si>
  <si>
    <t>误差</t>
    <phoneticPr fontId="1" type="noConversion"/>
  </si>
  <si>
    <t>标准化</t>
    <phoneticPr fontId="3" type="noConversion"/>
  </si>
  <si>
    <t>UG2(*10V)</t>
    <phoneticPr fontId="3" type="noConversion"/>
  </si>
  <si>
    <t>IP(*10^-8A)</t>
    <phoneticPr fontId="3" type="noConversion"/>
  </si>
  <si>
    <t>UG2</t>
    <phoneticPr fontId="3" type="noConversion"/>
  </si>
  <si>
    <t>IP</t>
    <phoneticPr fontId="3" type="noConversion"/>
  </si>
  <si>
    <t>峰值序号</t>
    <phoneticPr fontId="3" type="noConversion"/>
  </si>
  <si>
    <t>峰值位置</t>
    <phoneticPr fontId="3" type="noConversion"/>
  </si>
  <si>
    <t>e</t>
    <phoneticPr fontId="3" type="noConversion"/>
  </si>
  <si>
    <t>eU0理论</t>
    <phoneticPr fontId="3" type="noConversion"/>
  </si>
  <si>
    <t>eU0计算</t>
    <phoneticPr fontId="3" type="noConversion"/>
  </si>
  <si>
    <t>h普朗克常量</t>
    <phoneticPr fontId="3" type="noConversion"/>
  </si>
  <si>
    <t>c</t>
    <phoneticPr fontId="3" type="noConversion"/>
  </si>
  <si>
    <t>波长</t>
    <phoneticPr fontId="3" type="noConversion"/>
  </si>
  <si>
    <t>理论</t>
    <phoneticPr fontId="3" type="noConversion"/>
  </si>
  <si>
    <t>实际计算</t>
    <phoneticPr fontId="3" type="noConversion"/>
  </si>
  <si>
    <t>逐差法（忘了要干什么）</t>
    <phoneticPr fontId="1" type="noConversion"/>
  </si>
  <si>
    <t>IS/mA</t>
    <phoneticPr fontId="1" type="noConversion"/>
  </si>
  <si>
    <t>V1/mV</t>
    <phoneticPr fontId="1" type="noConversion"/>
  </si>
  <si>
    <t>V2/mV</t>
  </si>
  <si>
    <t>V3/mV</t>
  </si>
  <si>
    <t>V4/mV</t>
  </si>
  <si>
    <t>VH</t>
    <phoneticPr fontId="1" type="noConversion"/>
  </si>
  <si>
    <t>VH</t>
    <phoneticPr fontId="1" type="noConversion"/>
  </si>
  <si>
    <t>RH</t>
    <phoneticPr fontId="1" type="noConversion"/>
  </si>
  <si>
    <t>RH</t>
    <phoneticPr fontId="1" type="noConversion"/>
  </si>
  <si>
    <t>RH（平均）</t>
    <phoneticPr fontId="1" type="noConversion"/>
  </si>
  <si>
    <t>KH</t>
    <phoneticPr fontId="1" type="noConversion"/>
  </si>
  <si>
    <t>K/KGS/A</t>
    <phoneticPr fontId="1" type="noConversion"/>
  </si>
  <si>
    <t>+B, +Is</t>
  </si>
  <si>
    <t>-B, +Is</t>
  </si>
  <si>
    <t>-B, -Is</t>
  </si>
  <si>
    <t>+B, -Is</t>
  </si>
  <si>
    <t>IM</t>
    <phoneticPr fontId="1" type="noConversion"/>
  </si>
  <si>
    <t>IM/A</t>
    <phoneticPr fontId="1" type="noConversion"/>
  </si>
  <si>
    <t>V1/mV</t>
    <phoneticPr fontId="1" type="noConversion"/>
  </si>
  <si>
    <t>K/KGS/A</t>
    <phoneticPr fontId="1" type="noConversion"/>
  </si>
  <si>
    <t>RH总平均</t>
    <phoneticPr fontId="1" type="noConversion"/>
  </si>
  <si>
    <t>X1/cm</t>
    <phoneticPr fontId="1" type="noConversion"/>
  </si>
  <si>
    <t>X2/cm</t>
    <phoneticPr fontId="1" type="noConversion"/>
  </si>
  <si>
    <t>X/cm</t>
    <phoneticPr fontId="1" type="noConversion"/>
  </si>
  <si>
    <t>V1/mV</t>
    <phoneticPr fontId="1" type="noConversion"/>
  </si>
  <si>
    <t>B/GS</t>
    <phoneticPr fontId="1" type="noConversion"/>
  </si>
  <si>
    <t>KH/mV/mA*KGS</t>
    <phoneticPr fontId="1" type="noConversion"/>
  </si>
  <si>
    <t>IM/A</t>
    <phoneticPr fontId="1" type="noConversion"/>
  </si>
  <si>
    <t>迈克尔逊干涉仪数据记录表</t>
    <rPh sb="0" eb="1">
      <t>mai'ke'er'xun'gan'she'yi</t>
    </rPh>
    <rPh sb="7" eb="8">
      <t>shu'ju'ji'lu</t>
    </rPh>
    <rPh sb="11" eb="12">
      <t>biao</t>
    </rPh>
    <phoneticPr fontId="1" type="noConversion"/>
  </si>
  <si>
    <t>条纹变化数K</t>
    <phoneticPr fontId="1" type="noConversion"/>
  </si>
  <si>
    <t>读数位置d/mm</t>
    <rPh sb="2" eb="3">
      <t>wei'zhi</t>
    </rPh>
    <phoneticPr fontId="1" type="noConversion"/>
  </si>
  <si>
    <t>钠光灯波长/nm</t>
    <rPh sb="3" eb="4">
      <t>bo'chang</t>
    </rPh>
    <phoneticPr fontId="1" type="noConversion"/>
  </si>
  <si>
    <t>平均值/nm</t>
    <rPh sb="0" eb="1">
      <t>ping'jun'zhi</t>
    </rPh>
    <phoneticPr fontId="1" type="noConversion"/>
  </si>
  <si>
    <t>结果</t>
    <rPh sb="0" eb="1">
      <t>jie'guo</t>
    </rPh>
    <phoneticPr fontId="1" type="noConversion"/>
  </si>
  <si>
    <t>相比较法数据记录</t>
    <rPh sb="1" eb="2">
      <t>bi'jiao</t>
    </rPh>
    <rPh sb="4" eb="5">
      <t>shu'ju'ji'l</t>
    </rPh>
    <phoneticPr fontId="1" type="noConversion"/>
  </si>
  <si>
    <t>压电陶瓷谐振频率f0/Hz</t>
    <rPh sb="0" eb="1">
      <t>ya'dian'tao'ci</t>
    </rPh>
    <rPh sb="4" eb="5">
      <t>xie'zhen'pin'lv</t>
    </rPh>
    <phoneticPr fontId="1" type="noConversion"/>
  </si>
  <si>
    <t>室温</t>
    <rPh sb="0" eb="1">
      <t>shi'wen</t>
    </rPh>
    <phoneticPr fontId="1" type="noConversion"/>
  </si>
  <si>
    <t>李萨如图形</t>
    <rPh sb="0" eb="1">
      <t>lisa'ru'tu</t>
    </rPh>
    <rPh sb="4" eb="5">
      <t>xing</t>
    </rPh>
    <phoneticPr fontId="1" type="noConversion"/>
  </si>
  <si>
    <t>/</t>
    <phoneticPr fontId="1" type="noConversion"/>
  </si>
  <si>
    <t>\</t>
    <phoneticPr fontId="1" type="noConversion"/>
  </si>
  <si>
    <t>/</t>
    <phoneticPr fontId="1" type="noConversion"/>
  </si>
  <si>
    <t>接收头位置</t>
    <rPh sb="0" eb="1">
      <t>jie'shou'tou</t>
    </rPh>
    <rPh sb="3" eb="4">
      <t>wei'zhi</t>
    </rPh>
    <phoneticPr fontId="1" type="noConversion"/>
  </si>
  <si>
    <t>L1</t>
    <phoneticPr fontId="1" type="noConversion"/>
  </si>
  <si>
    <t>L2</t>
    <phoneticPr fontId="1" type="noConversion"/>
  </si>
  <si>
    <t>L3</t>
  </si>
  <si>
    <t>L4</t>
  </si>
  <si>
    <t>L5</t>
  </si>
  <si>
    <t>L6</t>
  </si>
  <si>
    <t>卡尺读数/mm</t>
    <rPh sb="0" eb="1">
      <t>ka'chi</t>
    </rPh>
    <rPh sb="2" eb="3">
      <t>du'shu</t>
    </rPh>
    <phoneticPr fontId="1" type="noConversion"/>
  </si>
  <si>
    <t>\</t>
    <phoneticPr fontId="1" type="noConversion"/>
  </si>
  <si>
    <t>L7</t>
  </si>
  <si>
    <t>L8</t>
  </si>
  <si>
    <t>L9</t>
  </si>
  <si>
    <t>L10</t>
  </si>
  <si>
    <t>L11</t>
  </si>
  <si>
    <t>L12</t>
  </si>
  <si>
    <t>干涉共振法数据记录</t>
    <rPh sb="0" eb="1">
      <t>gan'she</t>
    </rPh>
    <rPh sb="2" eb="3">
      <t>gong'zhen'fa</t>
    </rPh>
    <rPh sb="5" eb="6">
      <t>shu'ju'ji'lu</t>
    </rPh>
    <phoneticPr fontId="1" type="noConversion"/>
  </si>
  <si>
    <t>请自行按照对应行使用转置</t>
    <phoneticPr fontId="1" type="noConversion"/>
  </si>
  <si>
    <t>第三种</t>
    <phoneticPr fontId="3" type="noConversion"/>
  </si>
  <si>
    <t>第二种</t>
    <phoneticPr fontId="3" type="noConversion"/>
  </si>
  <si>
    <t>第一种</t>
    <phoneticPr fontId="3" type="noConversion"/>
  </si>
  <si>
    <t>Q</t>
    <phoneticPr fontId="3" type="noConversion"/>
  </si>
  <si>
    <t>UR/V</t>
    <phoneticPr fontId="3" type="noConversion"/>
  </si>
  <si>
    <t>UC/V</t>
    <phoneticPr fontId="3" type="noConversion"/>
  </si>
  <si>
    <t>UL/V</t>
    <phoneticPr fontId="3" type="noConversion"/>
  </si>
  <si>
    <t>U/V</t>
    <phoneticPr fontId="3" type="noConversion"/>
  </si>
  <si>
    <t>f0（理论）</t>
    <phoneticPr fontId="3" type="noConversion"/>
  </si>
  <si>
    <t>f0</t>
    <phoneticPr fontId="3" type="noConversion"/>
  </si>
  <si>
    <t>f2</t>
    <phoneticPr fontId="3" type="noConversion"/>
  </si>
  <si>
    <t>f1</t>
    <phoneticPr fontId="3" type="noConversion"/>
  </si>
  <si>
    <t>C/F</t>
    <phoneticPr fontId="3" type="noConversion"/>
  </si>
  <si>
    <t>L/H</t>
    <phoneticPr fontId="3" type="noConversion"/>
  </si>
  <si>
    <t>i/√2/mA</t>
    <phoneticPr fontId="3" type="noConversion"/>
  </si>
  <si>
    <t>R</t>
    <phoneticPr fontId="3" type="noConversion"/>
  </si>
  <si>
    <t>i/mA</t>
    <phoneticPr fontId="3" type="noConversion"/>
  </si>
  <si>
    <t>u/mV</t>
    <phoneticPr fontId="3" type="noConversion"/>
  </si>
  <si>
    <t>f/Hz</t>
    <phoneticPr fontId="3" type="noConversion"/>
  </si>
  <si>
    <t>u/mV</t>
    <phoneticPr fontId="3" type="noConversion"/>
  </si>
  <si>
    <t>辅助数据</t>
    <phoneticPr fontId="3" type="noConversion"/>
  </si>
  <si>
    <t>R1 = 100Ω</t>
    <phoneticPr fontId="3" type="noConversion"/>
  </si>
  <si>
    <t>通频带基准线</t>
    <phoneticPr fontId="1" type="noConversion"/>
  </si>
  <si>
    <t>只是移了过来</t>
    <phoneticPr fontId="1" type="noConversion"/>
  </si>
  <si>
    <t>自行记录</t>
    <phoneticPr fontId="1" type="noConversion"/>
  </si>
  <si>
    <t>ΔD2/D2</t>
    <phoneticPr fontId="3" type="noConversion"/>
  </si>
  <si>
    <t>ΔD1/D1</t>
    <phoneticPr fontId="3" type="noConversion"/>
  </si>
  <si>
    <t>取近似值</t>
    <phoneticPr fontId="3" type="noConversion"/>
  </si>
  <si>
    <t>ΔA</t>
  </si>
  <si>
    <t>ΔD2</t>
  </si>
  <si>
    <t>ΔD1</t>
  </si>
  <si>
    <t>AVE</t>
    <phoneticPr fontId="3" type="noConversion"/>
  </si>
  <si>
    <t>与平均值差值平方ΔA</t>
  </si>
  <si>
    <t>tp</t>
    <phoneticPr fontId="3" type="noConversion"/>
  </si>
  <si>
    <t>ΔB</t>
  </si>
  <si>
    <t>Δ仪</t>
    <phoneticPr fontId="3" type="noConversion"/>
  </si>
  <si>
    <t>误差值(mm)</t>
    <phoneticPr fontId="3" type="noConversion"/>
  </si>
  <si>
    <t>D2真实(mm)</t>
    <phoneticPr fontId="3" type="noConversion"/>
  </si>
  <si>
    <t>D1真实(mm)</t>
    <phoneticPr fontId="3" type="noConversion"/>
  </si>
  <si>
    <t>D2细(mm)</t>
    <phoneticPr fontId="3" type="noConversion"/>
  </si>
  <si>
    <t>D1粗(mm)</t>
    <phoneticPr fontId="3" type="noConversion"/>
  </si>
  <si>
    <t>k</t>
    <phoneticPr fontId="3" type="noConversion"/>
  </si>
  <si>
    <t>千分尺</t>
    <phoneticPr fontId="3" type="noConversion"/>
  </si>
  <si>
    <t>ΔH/H</t>
    <phoneticPr fontId="3" type="noConversion"/>
  </si>
  <si>
    <t>Δd/d</t>
    <phoneticPr fontId="3" type="noConversion"/>
  </si>
  <si>
    <t>ΔD/D</t>
    <phoneticPr fontId="3" type="noConversion"/>
  </si>
  <si>
    <t>已知误差</t>
    <phoneticPr fontId="3" type="noConversion"/>
  </si>
  <si>
    <t>ΔA</t>
    <phoneticPr fontId="3" type="noConversion"/>
  </si>
  <si>
    <t>ΔH</t>
  </si>
  <si>
    <t>Δd</t>
    <phoneticPr fontId="3" type="noConversion"/>
  </si>
  <si>
    <t>ΔD</t>
    <phoneticPr fontId="3" type="noConversion"/>
  </si>
  <si>
    <t>P</t>
    <phoneticPr fontId="3" type="noConversion"/>
  </si>
  <si>
    <t>←此值自己对齐左端有效数字位取近似值（进一法）</t>
    <phoneticPr fontId="3" type="noConversion"/>
  </si>
  <si>
    <t>最终值</t>
    <phoneticPr fontId="3" type="noConversion"/>
  </si>
  <si>
    <t>中间值</t>
    <phoneticPr fontId="3" type="noConversion"/>
  </si>
  <si>
    <t>ΔV</t>
    <phoneticPr fontId="3" type="noConversion"/>
  </si>
  <si>
    <t>V(mm^3)</t>
    <phoneticPr fontId="3" type="noConversion"/>
  </si>
  <si>
    <t>Δd</t>
  </si>
  <si>
    <t>ΔD</t>
  </si>
  <si>
    <t>ΔB</t>
    <phoneticPr fontId="3" type="noConversion"/>
  </si>
  <si>
    <t>H(mm)</t>
    <phoneticPr fontId="3" type="noConversion"/>
  </si>
  <si>
    <t>d(mm)</t>
    <phoneticPr fontId="3" type="noConversion"/>
  </si>
  <si>
    <t>D(mm)</t>
    <phoneticPr fontId="3" type="noConversion"/>
  </si>
  <si>
    <t>游标卡尺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</si>
</sst>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_ "/>
    <numFmt numFmtId="165" formatCode="0.000_ "/>
    <numFmt numFmtId="166" formatCode="0.0_ "/>
    <numFmt numFmtId="167" formatCode="0.000000_ "/>
    <numFmt numFmtId="168" formatCode="0.000_);[Red]\(0.000\)"/>
    <numFmt numFmtId="169" formatCode="0.00_);[Red]\(0.00\)"/>
    <numFmt numFmtId="170" formatCode="0_ "/>
    <numFmt numFmtId="171" formatCode="0.0000_ "/>
    <numFmt numFmtId="172" formatCode="0.000000_);[Red]\(0.000000\)"/>
    <numFmt numFmtId="173" formatCode="0.000E+00"/>
  </numFmts>
  <fonts count="17" x14ac:knownFonts="1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9"/>
      <name val="Calibri"/>
      <family val="3"/>
      <charset val="134"/>
      <scheme val="minor"/>
    </font>
    <font>
      <sz val="10.5"/>
      <color theme="1"/>
      <name val="Times New Roman"/>
      <family val="1"/>
    </font>
    <font>
      <sz val="10.5"/>
      <color rgb="FF00000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4"/>
      <scheme val="minor"/>
    </font>
    <font>
      <sz val="11"/>
      <color theme="1"/>
      <name val="Calibri"/>
      <family val="3"/>
      <charset val="134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等线"/>
      <family val="3"/>
      <charset val="134"/>
    </font>
    <font>
      <sz val="12"/>
      <color theme="1"/>
      <name val="DengXian Regular"/>
    </font>
    <font>
      <sz val="12"/>
      <color theme="1"/>
      <name val="Calibri"/>
      <family val="3"/>
      <charset val="134"/>
      <scheme val="minor"/>
    </font>
    <font>
      <sz val="12"/>
      <color rgb="FF000000"/>
      <name val="Calibri"/>
      <family val="3"/>
      <charset val="134"/>
      <scheme val="minor"/>
    </font>
    <font>
      <u/>
      <sz val="11"/>
      <color theme="10"/>
      <name val="Calibri"/>
      <family val="2"/>
      <scheme val="minor"/>
    </font>
    <font>
      <sz val="12"/>
      <color theme="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6" fillId="0" borderId="0"/>
    <xf numFmtId="0" fontId="7" fillId="0" borderId="0"/>
    <xf numFmtId="0" fontId="15" fillId="0" borderId="0" applyNumberFormat="0" applyFill="0" applyBorder="0" applyAlignment="0" applyProtection="0"/>
  </cellStyleXfs>
  <cellXfs count="19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64" fontId="0" fillId="0" borderId="0" xfId="0" applyNumberFormat="1">
      <alignment vertical="center"/>
    </xf>
    <xf numFmtId="164" fontId="0" fillId="3" borderId="0" xfId="0" applyNumberFormat="1" applyFill="1">
      <alignment vertical="center"/>
    </xf>
    <xf numFmtId="164" fontId="0" fillId="0" borderId="0" xfId="0" applyNumberFormat="1" applyBorder="1">
      <alignment vertical="center"/>
    </xf>
    <xf numFmtId="164" fontId="0" fillId="3" borderId="0" xfId="0" applyNumberFormat="1" applyFill="1" applyBorder="1">
      <alignment vertical="center"/>
    </xf>
    <xf numFmtId="164" fontId="0" fillId="5" borderId="0" xfId="0" applyNumberFormat="1" applyFill="1">
      <alignment vertical="center"/>
    </xf>
    <xf numFmtId="0" fontId="0" fillId="4" borderId="0" xfId="0" applyFill="1">
      <alignment vertical="center"/>
    </xf>
    <xf numFmtId="164" fontId="0" fillId="4" borderId="0" xfId="0" applyNumberFormat="1" applyFill="1" applyAlignment="1">
      <alignment horizontal="center" vertical="center"/>
    </xf>
    <xf numFmtId="164" fontId="0" fillId="4" borderId="0" xfId="0" applyNumberFormat="1" applyFill="1">
      <alignment vertical="center"/>
    </xf>
    <xf numFmtId="164" fontId="4" fillId="4" borderId="0" xfId="0" applyNumberFormat="1" applyFont="1" applyFill="1" applyBorder="1" applyAlignment="1">
      <alignment horizontal="center" vertical="center" wrapText="1"/>
    </xf>
    <xf numFmtId="164" fontId="5" fillId="4" borderId="0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6" fillId="0" borderId="0" xfId="1" applyAlignment="1">
      <alignment vertical="center"/>
    </xf>
    <xf numFmtId="0" fontId="6" fillId="0" borderId="0" xfId="1"/>
    <xf numFmtId="165" fontId="6" fillId="0" borderId="0" xfId="1" applyNumberFormat="1"/>
    <xf numFmtId="0" fontId="6" fillId="7" borderId="0" xfId="1" applyFill="1"/>
    <xf numFmtId="165" fontId="6" fillId="7" borderId="0" xfId="1" applyNumberFormat="1" applyFill="1"/>
    <xf numFmtId="0" fontId="6" fillId="0" borderId="0" xfId="1" applyFill="1"/>
    <xf numFmtId="165" fontId="6" fillId="0" borderId="0" xfId="1" applyNumberFormat="1" applyFill="1"/>
    <xf numFmtId="0" fontId="6" fillId="0" borderId="0" xfId="1" applyBorder="1" applyAlignment="1">
      <alignment horizontal="center" vertical="center"/>
    </xf>
    <xf numFmtId="164" fontId="6" fillId="3" borderId="0" xfId="1" applyNumberFormat="1" applyFill="1" applyBorder="1" applyAlignment="1">
      <alignment horizontal="center" vertical="center"/>
    </xf>
    <xf numFmtId="164" fontId="6" fillId="0" borderId="0" xfId="1" applyNumberFormat="1" applyBorder="1" applyAlignment="1">
      <alignment horizontal="center" vertical="center"/>
    </xf>
    <xf numFmtId="164" fontId="6" fillId="2" borderId="0" xfId="1" applyNumberFormat="1" applyFill="1" applyBorder="1" applyAlignment="1">
      <alignment horizontal="center" vertical="center"/>
    </xf>
    <xf numFmtId="0" fontId="6" fillId="5" borderId="0" xfId="1" applyFill="1" applyBorder="1" applyAlignment="1">
      <alignment horizontal="center" vertical="center"/>
    </xf>
    <xf numFmtId="0" fontId="6" fillId="3" borderId="0" xfId="1" applyFill="1" applyBorder="1" applyAlignment="1">
      <alignment horizontal="center" vertical="center"/>
    </xf>
    <xf numFmtId="0" fontId="6" fillId="0" borderId="0" xfId="1" applyBorder="1" applyAlignment="1">
      <alignment vertical="center"/>
    </xf>
    <xf numFmtId="165" fontId="6" fillId="0" borderId="0" xfId="1" applyNumberFormat="1" applyBorder="1" applyAlignment="1">
      <alignment horizontal="center" vertical="center"/>
    </xf>
    <xf numFmtId="0" fontId="6" fillId="0" borderId="0" xfId="1" applyNumberFormat="1" applyBorder="1" applyAlignment="1">
      <alignment horizontal="center" vertical="center"/>
    </xf>
    <xf numFmtId="164" fontId="6" fillId="7" borderId="0" xfId="1" applyNumberFormat="1" applyFill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164" fontId="8" fillId="0" borderId="0" xfId="1" applyNumberFormat="1" applyFont="1" applyBorder="1" applyAlignment="1">
      <alignment horizontal="center" vertical="center"/>
    </xf>
    <xf numFmtId="0" fontId="8" fillId="0" borderId="0" xfId="1" applyFont="1" applyBorder="1"/>
    <xf numFmtId="164" fontId="6" fillId="0" borderId="0" xfId="1" applyNumberFormat="1" applyAlignment="1">
      <alignment vertical="center"/>
    </xf>
    <xf numFmtId="166" fontId="6" fillId="0" borderId="0" xfId="1" applyNumberFormat="1" applyAlignment="1">
      <alignment vertical="center"/>
    </xf>
    <xf numFmtId="165" fontId="10" fillId="6" borderId="0" xfId="1" applyNumberFormat="1" applyFont="1" applyFill="1" applyAlignment="1">
      <alignment vertical="center"/>
    </xf>
    <xf numFmtId="167" fontId="6" fillId="0" borderId="0" xfId="1" applyNumberFormat="1"/>
    <xf numFmtId="0" fontId="6" fillId="9" borderId="0" xfId="1" applyFill="1" applyAlignment="1">
      <alignment vertical="center"/>
    </xf>
    <xf numFmtId="165" fontId="6" fillId="0" borderId="0" xfId="1" applyNumberFormat="1" applyAlignment="1">
      <alignment vertical="center"/>
    </xf>
    <xf numFmtId="164" fontId="6" fillId="3" borderId="0" xfId="1" applyNumberFormat="1" applyFill="1" applyAlignment="1">
      <alignment vertical="center"/>
    </xf>
    <xf numFmtId="164" fontId="6" fillId="7" borderId="0" xfId="1" applyNumberFormat="1" applyFill="1" applyAlignment="1">
      <alignment vertical="center"/>
    </xf>
    <xf numFmtId="0" fontId="10" fillId="0" borderId="0" xfId="1" applyFont="1" applyFill="1" applyAlignment="1">
      <alignment vertical="center"/>
    </xf>
    <xf numFmtId="0" fontId="6" fillId="2" borderId="0" xfId="1" applyFill="1" applyAlignment="1">
      <alignment vertical="center"/>
    </xf>
    <xf numFmtId="164" fontId="6" fillId="2" borderId="0" xfId="1" applyNumberFormat="1" applyFill="1" applyAlignment="1">
      <alignment vertical="center"/>
    </xf>
    <xf numFmtId="0" fontId="11" fillId="0" borderId="0" xfId="0" applyFont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165" fontId="11" fillId="0" borderId="0" xfId="0" applyNumberFormat="1" applyFont="1" applyBorder="1" applyAlignment="1">
      <alignment horizontal="center" vertical="center"/>
    </xf>
    <xf numFmtId="0" fontId="11" fillId="0" borderId="0" xfId="0" applyNumberFormat="1" applyFont="1" applyBorder="1" applyAlignment="1">
      <alignment horizontal="center" vertical="center"/>
    </xf>
    <xf numFmtId="11" fontId="11" fillId="0" borderId="0" xfId="0" applyNumberFormat="1" applyFont="1" applyBorder="1" applyAlignment="1">
      <alignment horizontal="center" vertical="center"/>
    </xf>
    <xf numFmtId="168" fontId="11" fillId="0" borderId="0" xfId="0" applyNumberFormat="1" applyFont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0" fontId="11" fillId="0" borderId="0" xfId="0" applyNumberFormat="1" applyFont="1" applyBorder="1" applyAlignment="1">
      <alignment horizontal="center" vertical="center"/>
    </xf>
    <xf numFmtId="10" fontId="11" fillId="11" borderId="0" xfId="0" applyNumberFormat="1" applyFont="1" applyFill="1" applyBorder="1" applyAlignment="1">
      <alignment horizontal="center" vertical="center"/>
    </xf>
    <xf numFmtId="0" fontId="13" fillId="0" borderId="0" xfId="2" applyFont="1" applyAlignment="1">
      <alignment vertical="center"/>
    </xf>
    <xf numFmtId="0" fontId="13" fillId="0" borderId="0" xfId="2" applyFont="1"/>
    <xf numFmtId="166" fontId="13" fillId="0" borderId="0" xfId="2" applyNumberFormat="1" applyFont="1" applyAlignment="1">
      <alignment vertical="center"/>
    </xf>
    <xf numFmtId="0" fontId="13" fillId="0" borderId="0" xfId="2" applyFont="1" applyAlignment="1"/>
    <xf numFmtId="165" fontId="13" fillId="0" borderId="0" xfId="2" applyNumberFormat="1" applyFont="1"/>
    <xf numFmtId="165" fontId="13" fillId="5" borderId="0" xfId="2" applyNumberFormat="1" applyFont="1" applyFill="1"/>
    <xf numFmtId="164" fontId="13" fillId="0" borderId="0" xfId="2" applyNumberFormat="1" applyFont="1" applyAlignment="1">
      <alignment vertical="center"/>
    </xf>
    <xf numFmtId="166" fontId="13" fillId="7" borderId="0" xfId="2" applyNumberFormat="1" applyFont="1" applyFill="1" applyAlignment="1">
      <alignment vertical="center"/>
    </xf>
    <xf numFmtId="0" fontId="8" fillId="0" borderId="0" xfId="2" applyFont="1" applyAlignment="1">
      <alignment horizontal="center" vertical="center"/>
    </xf>
    <xf numFmtId="164" fontId="8" fillId="0" borderId="0" xfId="2" applyNumberFormat="1" applyFont="1" applyAlignment="1">
      <alignment horizontal="center" vertical="center"/>
    </xf>
    <xf numFmtId="164" fontId="8" fillId="5" borderId="0" xfId="2" applyNumberFormat="1" applyFont="1" applyFill="1" applyAlignment="1">
      <alignment horizontal="center" vertical="center"/>
    </xf>
    <xf numFmtId="11" fontId="8" fillId="0" borderId="0" xfId="2" applyNumberFormat="1" applyFont="1" applyAlignment="1">
      <alignment horizontal="center" vertical="center"/>
    </xf>
    <xf numFmtId="11" fontId="2" fillId="3" borderId="0" xfId="2" applyNumberFormat="1" applyFont="1" applyFill="1" applyAlignment="1">
      <alignment horizontal="center" vertical="center"/>
    </xf>
    <xf numFmtId="0" fontId="7" fillId="0" borderId="0" xfId="2" applyAlignment="1">
      <alignment horizontal="center" vertical="center"/>
    </xf>
    <xf numFmtId="0" fontId="7" fillId="0" borderId="0" xfId="2" applyBorder="1" applyAlignment="1">
      <alignment horizontal="center" vertical="center"/>
    </xf>
    <xf numFmtId="165" fontId="7" fillId="7" borderId="0" xfId="2" applyNumberFormat="1" applyFill="1" applyBorder="1" applyAlignment="1">
      <alignment horizontal="center" vertical="center"/>
    </xf>
    <xf numFmtId="10" fontId="7" fillId="3" borderId="0" xfId="2" applyNumberFormat="1" applyFill="1" applyAlignment="1">
      <alignment horizontal="center" vertical="center"/>
    </xf>
    <xf numFmtId="165" fontId="7" fillId="3" borderId="0" xfId="2" applyNumberFormat="1" applyFill="1" applyBorder="1" applyAlignment="1">
      <alignment horizontal="center" vertical="center"/>
    </xf>
    <xf numFmtId="0" fontId="7" fillId="3" borderId="0" xfId="2" applyFill="1" applyBorder="1" applyAlignment="1">
      <alignment horizontal="center" vertical="center"/>
    </xf>
    <xf numFmtId="0" fontId="10" fillId="0" borderId="0" xfId="3" applyNumberFormat="1" applyFont="1"/>
    <xf numFmtId="11" fontId="6" fillId="0" borderId="0" xfId="1" applyNumberFormat="1"/>
    <xf numFmtId="0" fontId="6" fillId="3" borderId="0" xfId="1" applyFill="1"/>
    <xf numFmtId="164" fontId="6" fillId="0" borderId="0" xfId="1" applyNumberFormat="1"/>
    <xf numFmtId="0" fontId="13" fillId="0" borderId="0" xfId="2" applyFont="1" applyBorder="1" applyAlignment="1">
      <alignment horizontal="center" vertical="center"/>
    </xf>
    <xf numFmtId="0" fontId="13" fillId="5" borderId="0" xfId="2" applyFont="1" applyFill="1" applyBorder="1" applyAlignment="1">
      <alignment horizontal="center" vertical="center"/>
    </xf>
    <xf numFmtId="49" fontId="13" fillId="0" borderId="0" xfId="2" applyNumberFormat="1" applyFont="1" applyBorder="1" applyAlignment="1">
      <alignment horizontal="center" vertical="center"/>
    </xf>
    <xf numFmtId="164" fontId="13" fillId="0" borderId="0" xfId="2" applyNumberFormat="1" applyFont="1" applyBorder="1" applyAlignment="1">
      <alignment horizontal="center" vertical="center"/>
    </xf>
    <xf numFmtId="11" fontId="13" fillId="0" borderId="0" xfId="2" applyNumberFormat="1" applyFont="1" applyBorder="1" applyAlignment="1">
      <alignment horizontal="center" vertical="center"/>
    </xf>
    <xf numFmtId="11" fontId="13" fillId="0" borderId="0" xfId="2" applyNumberFormat="1" applyFont="1" applyBorder="1" applyAlignment="1">
      <alignment vertical="center"/>
    </xf>
    <xf numFmtId="165" fontId="13" fillId="0" borderId="0" xfId="2" applyNumberFormat="1" applyFont="1" applyBorder="1" applyAlignment="1">
      <alignment vertical="center"/>
    </xf>
    <xf numFmtId="0" fontId="13" fillId="3" borderId="0" xfId="2" applyFont="1" applyFill="1" applyBorder="1" applyAlignment="1">
      <alignment horizontal="center" vertical="center"/>
    </xf>
    <xf numFmtId="11" fontId="13" fillId="3" borderId="0" xfId="2" applyNumberFormat="1" applyFont="1" applyFill="1" applyBorder="1" applyAlignment="1">
      <alignment horizontal="center" vertical="center"/>
    </xf>
    <xf numFmtId="164" fontId="13" fillId="3" borderId="0" xfId="2" applyNumberFormat="1" applyFont="1" applyFill="1" applyBorder="1" applyAlignment="1">
      <alignment horizontal="center" vertical="center"/>
    </xf>
    <xf numFmtId="166" fontId="13" fillId="0" borderId="0" xfId="2" applyNumberFormat="1" applyFont="1" applyBorder="1" applyAlignment="1">
      <alignment horizontal="center" vertical="center"/>
    </xf>
    <xf numFmtId="165" fontId="13" fillId="0" borderId="0" xfId="2" applyNumberFormat="1" applyFont="1" applyBorder="1" applyAlignment="1">
      <alignment horizontal="center" vertical="center"/>
    </xf>
    <xf numFmtId="0" fontId="7" fillId="0" borderId="0" xfId="2"/>
    <xf numFmtId="0" fontId="12" fillId="0" borderId="0" xfId="2" applyFont="1" applyBorder="1"/>
    <xf numFmtId="0" fontId="8" fillId="0" borderId="0" xfId="2" applyFont="1" applyBorder="1" applyAlignment="1">
      <alignment horizontal="right" vertical="center"/>
    </xf>
    <xf numFmtId="0" fontId="8" fillId="0" borderId="0" xfId="2" applyFont="1" applyBorder="1" applyAlignment="1">
      <alignment horizontal="right"/>
    </xf>
    <xf numFmtId="0" fontId="8" fillId="0" borderId="0" xfId="2" applyFont="1" applyBorder="1" applyAlignment="1">
      <alignment horizontal="left" vertical="center"/>
    </xf>
    <xf numFmtId="0" fontId="8" fillId="0" borderId="0" xfId="2" applyFont="1" applyBorder="1" applyAlignment="1">
      <alignment horizontal="left"/>
    </xf>
    <xf numFmtId="0" fontId="8" fillId="7" borderId="0" xfId="2" applyFont="1" applyFill="1" applyBorder="1" applyAlignment="1">
      <alignment horizontal="right" vertical="center"/>
    </xf>
    <xf numFmtId="164" fontId="13" fillId="7" borderId="0" xfId="2" applyNumberFormat="1" applyFont="1" applyFill="1" applyBorder="1" applyAlignment="1">
      <alignment horizontal="center" vertical="center"/>
    </xf>
    <xf numFmtId="165" fontId="12" fillId="3" borderId="0" xfId="2" applyNumberFormat="1" applyFont="1" applyFill="1" applyBorder="1"/>
    <xf numFmtId="165" fontId="12" fillId="0" borderId="0" xfId="2" applyNumberFormat="1" applyFont="1" applyBorder="1"/>
    <xf numFmtId="11" fontId="12" fillId="0" borderId="0" xfId="2" applyNumberFormat="1" applyFont="1" applyBorder="1"/>
    <xf numFmtId="169" fontId="12" fillId="0" borderId="0" xfId="2" applyNumberFormat="1" applyFont="1" applyBorder="1"/>
    <xf numFmtId="169" fontId="12" fillId="12" borderId="0" xfId="2" applyNumberFormat="1" applyFont="1" applyFill="1" applyBorder="1"/>
    <xf numFmtId="164" fontId="12" fillId="0" borderId="0" xfId="2" applyNumberFormat="1" applyFont="1" applyBorder="1"/>
    <xf numFmtId="11" fontId="12" fillId="0" borderId="0" xfId="2" applyNumberFormat="1" applyFont="1" applyBorder="1" applyAlignment="1">
      <alignment vertical="center"/>
    </xf>
    <xf numFmtId="0" fontId="12" fillId="0" borderId="0" xfId="2" applyFont="1" applyBorder="1" applyAlignment="1">
      <alignment vertical="center"/>
    </xf>
    <xf numFmtId="165" fontId="12" fillId="7" borderId="0" xfId="2" applyNumberFormat="1" applyFont="1" applyFill="1" applyBorder="1" applyAlignment="1">
      <alignment vertical="center"/>
    </xf>
    <xf numFmtId="0" fontId="6" fillId="0" borderId="0" xfId="1" applyAlignment="1">
      <alignment horizontal="right" vertical="center"/>
    </xf>
    <xf numFmtId="164" fontId="6" fillId="5" borderId="0" xfId="1" applyNumberFormat="1" applyFill="1" applyAlignment="1">
      <alignment horizontal="right" vertical="center"/>
    </xf>
    <xf numFmtId="0" fontId="6" fillId="5" borderId="0" xfId="1" applyFill="1" applyAlignment="1">
      <alignment horizontal="right" vertical="center"/>
    </xf>
    <xf numFmtId="0" fontId="6" fillId="10" borderId="0" xfId="1" applyFill="1" applyAlignment="1">
      <alignment horizontal="right" vertical="center"/>
    </xf>
    <xf numFmtId="0" fontId="6" fillId="7" borderId="0" xfId="1" applyFill="1" applyAlignment="1">
      <alignment horizontal="right" vertical="center"/>
    </xf>
    <xf numFmtId="0" fontId="6" fillId="9" borderId="0" xfId="1" applyFill="1" applyAlignment="1">
      <alignment horizontal="right" vertical="center"/>
    </xf>
    <xf numFmtId="170" fontId="6" fillId="9" borderId="0" xfId="1" applyNumberFormat="1" applyFill="1" applyAlignment="1">
      <alignment horizontal="right" vertical="center"/>
    </xf>
    <xf numFmtId="0" fontId="6" fillId="2" borderId="0" xfId="1" applyFill="1" applyAlignment="1">
      <alignment horizontal="right" vertical="center"/>
    </xf>
    <xf numFmtId="0" fontId="6" fillId="8" borderId="0" xfId="1" applyFill="1" applyAlignment="1">
      <alignment horizontal="right" vertical="center"/>
    </xf>
    <xf numFmtId="11" fontId="6" fillId="9" borderId="0" xfId="1" applyNumberFormat="1" applyFill="1" applyAlignment="1">
      <alignment horizontal="right" vertical="center"/>
    </xf>
    <xf numFmtId="0" fontId="6" fillId="3" borderId="0" xfId="1" applyFill="1" applyAlignment="1">
      <alignment horizontal="right" vertical="center"/>
    </xf>
    <xf numFmtId="171" fontId="6" fillId="6" borderId="0" xfId="1" applyNumberFormat="1" applyFill="1" applyAlignment="1">
      <alignment horizontal="right" vertical="center"/>
    </xf>
    <xf numFmtId="0" fontId="6" fillId="0" borderId="0" xfId="1" applyFill="1" applyAlignment="1">
      <alignment horizontal="center" vertical="center"/>
    </xf>
    <xf numFmtId="0" fontId="6" fillId="0" borderId="0" xfId="1" applyBorder="1" applyAlignment="1">
      <alignment horizontal="center" vertical="center"/>
    </xf>
    <xf numFmtId="0" fontId="6" fillId="0" borderId="0" xfId="1" applyBorder="1"/>
    <xf numFmtId="167" fontId="6" fillId="0" borderId="0" xfId="1" applyNumberFormat="1" applyBorder="1"/>
    <xf numFmtId="171" fontId="6" fillId="3" borderId="0" xfId="1" applyNumberFormat="1" applyFill="1" applyBorder="1"/>
    <xf numFmtId="0" fontId="6" fillId="3" borderId="0" xfId="1" applyFill="1" applyBorder="1"/>
    <xf numFmtId="165" fontId="6" fillId="0" borderId="0" xfId="1" applyNumberFormat="1" applyBorder="1"/>
    <xf numFmtId="165" fontId="6" fillId="3" borderId="0" xfId="1" applyNumberFormat="1" applyFill="1" applyBorder="1"/>
    <xf numFmtId="165" fontId="6" fillId="0" borderId="0" xfId="1" applyNumberFormat="1" applyFill="1" applyBorder="1"/>
    <xf numFmtId="172" fontId="6" fillId="3" borderId="0" xfId="1" applyNumberFormat="1" applyFill="1" applyBorder="1"/>
    <xf numFmtId="171" fontId="6" fillId="0" borderId="0" xfId="1" applyNumberFormat="1" applyBorder="1"/>
    <xf numFmtId="171" fontId="6" fillId="5" borderId="0" xfId="1" applyNumberFormat="1" applyFill="1" applyBorder="1"/>
    <xf numFmtId="165" fontId="6" fillId="7" borderId="0" xfId="1" applyNumberFormat="1" applyFill="1" applyBorder="1"/>
    <xf numFmtId="0" fontId="6" fillId="5" borderId="0" xfId="1" applyFill="1" applyBorder="1"/>
    <xf numFmtId="0" fontId="6" fillId="10" borderId="0" xfId="1" applyFill="1" applyBorder="1"/>
    <xf numFmtId="164" fontId="6" fillId="3" borderId="0" xfId="1" applyNumberFormat="1" applyFill="1" applyBorder="1"/>
    <xf numFmtId="169" fontId="6" fillId="3" borderId="0" xfId="1" applyNumberFormat="1" applyFill="1" applyBorder="1"/>
    <xf numFmtId="164" fontId="6" fillId="0" borderId="0" xfId="1" applyNumberFormat="1" applyBorder="1"/>
    <xf numFmtId="167" fontId="6" fillId="0" borderId="0" xfId="1" applyNumberFormat="1" applyFill="1" applyBorder="1"/>
    <xf numFmtId="164" fontId="6" fillId="7" borderId="0" xfId="1" applyNumberFormat="1" applyFill="1" applyBorder="1"/>
    <xf numFmtId="173" fontId="6" fillId="3" borderId="0" xfId="1" applyNumberFormat="1" applyFill="1" applyBorder="1"/>
    <xf numFmtId="0" fontId="6" fillId="0" borderId="0" xfId="1" applyBorder="1" applyAlignment="1">
      <alignment horizontal="center"/>
    </xf>
    <xf numFmtId="165" fontId="6" fillId="7" borderId="0" xfId="1" applyNumberFormat="1" applyFill="1" applyBorder="1" applyAlignment="1">
      <alignment horizontal="center" vertical="center"/>
    </xf>
    <xf numFmtId="0" fontId="6" fillId="0" borderId="0" xfId="1" applyBorder="1" applyAlignment="1">
      <alignment horizontal="center"/>
    </xf>
    <xf numFmtId="172" fontId="6" fillId="5" borderId="0" xfId="1" applyNumberFormat="1" applyFill="1" applyBorder="1" applyAlignment="1">
      <alignment horizontal="center" vertical="center"/>
    </xf>
    <xf numFmtId="172" fontId="6" fillId="10" borderId="0" xfId="1" applyNumberFormat="1" applyFill="1" applyBorder="1" applyAlignment="1">
      <alignment horizontal="center" vertical="center"/>
    </xf>
    <xf numFmtId="0" fontId="6" fillId="3" borderId="0" xfId="1" applyFill="1" applyBorder="1" applyAlignment="1">
      <alignment horizontal="center"/>
    </xf>
    <xf numFmtId="0" fontId="6" fillId="5" borderId="0" xfId="1" applyFill="1" applyBorder="1" applyAlignment="1">
      <alignment horizontal="center" vertical="center"/>
    </xf>
    <xf numFmtId="0" fontId="6" fillId="3" borderId="0" xfId="1" applyFill="1" applyBorder="1" applyAlignment="1">
      <alignment horizontal="center" vertical="center"/>
    </xf>
    <xf numFmtId="172" fontId="6" fillId="0" borderId="0" xfId="1" applyNumberFormat="1" applyFill="1" applyBorder="1" applyAlignment="1">
      <alignment horizontal="center" vertical="center"/>
    </xf>
    <xf numFmtId="0" fontId="6" fillId="0" borderId="0" xfId="1" applyFill="1" applyBorder="1" applyAlignment="1">
      <alignment horizontal="center"/>
    </xf>
    <xf numFmtId="164" fontId="0" fillId="3" borderId="0" xfId="0" applyNumberForma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64" fontId="0" fillId="3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1" fontId="6" fillId="3" borderId="0" xfId="1" applyNumberFormat="1" applyFill="1" applyBorder="1" applyAlignment="1">
      <alignment horizontal="center" vertical="center"/>
    </xf>
    <xf numFmtId="0" fontId="6" fillId="0" borderId="0" xfId="1" applyBorder="1" applyAlignment="1">
      <alignment horizontal="center" vertical="center"/>
    </xf>
    <xf numFmtId="165" fontId="6" fillId="0" borderId="0" xfId="1" applyNumberFormat="1" applyBorder="1" applyAlignment="1">
      <alignment horizontal="center" vertical="center"/>
    </xf>
    <xf numFmtId="164" fontId="6" fillId="0" borderId="0" xfId="1" applyNumberFormat="1" applyBorder="1" applyAlignment="1">
      <alignment horizontal="center" vertical="center"/>
    </xf>
    <xf numFmtId="164" fontId="6" fillId="2" borderId="0" xfId="1" applyNumberFormat="1" applyFill="1" applyBorder="1" applyAlignment="1">
      <alignment horizontal="center" vertical="center"/>
    </xf>
    <xf numFmtId="0" fontId="6" fillId="0" borderId="0" xfId="1" applyAlignment="1">
      <alignment horizontal="center"/>
    </xf>
    <xf numFmtId="0" fontId="6" fillId="0" borderId="0" xfId="1" applyAlignment="1">
      <alignment horizontal="center" vertical="center"/>
    </xf>
    <xf numFmtId="0" fontId="6" fillId="0" borderId="0" xfId="1" applyAlignment="1">
      <alignment horizontal="center" vertical="center" wrapText="1"/>
    </xf>
    <xf numFmtId="0" fontId="9" fillId="3" borderId="0" xfId="1" applyFont="1" applyFill="1" applyBorder="1" applyAlignment="1">
      <alignment horizontal="center" vertical="center"/>
    </xf>
    <xf numFmtId="0" fontId="6" fillId="2" borderId="0" xfId="1" applyFill="1" applyAlignment="1">
      <alignment horizontal="center" vertical="center"/>
    </xf>
    <xf numFmtId="165" fontId="6" fillId="0" borderId="0" xfId="1" applyNumberFormat="1" applyAlignment="1">
      <alignment horizontal="center" vertical="center"/>
    </xf>
    <xf numFmtId="165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165" fontId="11" fillId="11" borderId="0" xfId="0" applyNumberFormat="1" applyFont="1" applyFill="1" applyBorder="1" applyAlignment="1">
      <alignment horizontal="center" vertical="center"/>
    </xf>
    <xf numFmtId="11" fontId="11" fillId="0" borderId="0" xfId="0" applyNumberFormat="1" applyFont="1" applyBorder="1" applyAlignment="1">
      <alignment horizontal="center" vertical="center"/>
    </xf>
    <xf numFmtId="0" fontId="13" fillId="0" borderId="0" xfId="2" applyFont="1" applyAlignment="1">
      <alignment horizontal="center"/>
    </xf>
    <xf numFmtId="164" fontId="13" fillId="0" borderId="0" xfId="2" applyNumberFormat="1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 readingOrder="1"/>
    </xf>
    <xf numFmtId="0" fontId="13" fillId="7" borderId="0" xfId="2" applyFont="1" applyFill="1" applyAlignment="1">
      <alignment horizontal="center" vertical="center"/>
    </xf>
    <xf numFmtId="0" fontId="8" fillId="0" borderId="0" xfId="2" applyFont="1" applyAlignment="1">
      <alignment horizontal="center" vertical="center"/>
    </xf>
    <xf numFmtId="11" fontId="8" fillId="0" borderId="0" xfId="2" applyNumberFormat="1" applyFont="1" applyAlignment="1">
      <alignment horizontal="center" vertical="center"/>
    </xf>
    <xf numFmtId="10" fontId="8" fillId="0" borderId="0" xfId="2" applyNumberFormat="1" applyFont="1" applyAlignment="1">
      <alignment horizontal="center" vertical="center"/>
    </xf>
    <xf numFmtId="0" fontId="7" fillId="0" borderId="0" xfId="2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11" fontId="13" fillId="0" borderId="0" xfId="2" applyNumberFormat="1" applyFont="1" applyBorder="1" applyAlignment="1">
      <alignment horizontal="center" vertical="center"/>
    </xf>
    <xf numFmtId="165" fontId="13" fillId="0" borderId="0" xfId="2" applyNumberFormat="1" applyFont="1" applyBorder="1" applyAlignment="1">
      <alignment horizontal="center" vertical="center"/>
    </xf>
    <xf numFmtId="0" fontId="8" fillId="0" borderId="0" xfId="2" applyFont="1" applyBorder="1" applyAlignment="1">
      <alignment horizontal="center" vertical="center"/>
    </xf>
    <xf numFmtId="0" fontId="8" fillId="3" borderId="0" xfId="2" applyFont="1" applyFill="1" applyBorder="1" applyAlignment="1">
      <alignment horizontal="center"/>
    </xf>
    <xf numFmtId="0" fontId="16" fillId="5" borderId="0" xfId="2" applyFont="1" applyFill="1" applyBorder="1" applyAlignment="1">
      <alignment horizontal="center" vertical="center" wrapText="1"/>
    </xf>
    <xf numFmtId="0" fontId="12" fillId="5" borderId="0" xfId="2" applyFont="1" applyFill="1" applyBorder="1" applyAlignment="1">
      <alignment horizontal="center" vertical="center" wrapText="1"/>
    </xf>
    <xf numFmtId="0" fontId="12" fillId="0" borderId="0" xfId="2" applyFont="1" applyBorder="1" applyAlignment="1">
      <alignment horizontal="center" vertical="center"/>
    </xf>
    <xf numFmtId="0" fontId="12" fillId="0" borderId="0" xfId="2" applyFont="1" applyBorder="1" applyAlignment="1">
      <alignment horizontal="center"/>
    </xf>
    <xf numFmtId="11" fontId="12" fillId="5" borderId="0" xfId="2" applyNumberFormat="1" applyFont="1" applyFill="1" applyBorder="1" applyAlignment="1">
      <alignment horizontal="center" vertical="center"/>
    </xf>
    <xf numFmtId="0" fontId="12" fillId="5" borderId="0" xfId="2" applyFont="1" applyFill="1" applyBorder="1" applyAlignment="1">
      <alignment horizontal="center" vertical="center"/>
    </xf>
    <xf numFmtId="0" fontId="6" fillId="6" borderId="0" xfId="1" applyFill="1" applyAlignment="1">
      <alignment horizontal="center" vertical="center" wrapText="1"/>
    </xf>
    <xf numFmtId="0" fontId="6" fillId="6" borderId="0" xfId="1" applyFill="1" applyAlignment="1">
      <alignment horizontal="center" vertical="center"/>
    </xf>
    <xf numFmtId="164" fontId="6" fillId="5" borderId="0" xfId="1" applyNumberFormat="1" applyFill="1" applyAlignment="1">
      <alignment horizontal="center" vertical="center"/>
    </xf>
    <xf numFmtId="170" fontId="6" fillId="0" borderId="0" xfId="1" applyNumberFormat="1" applyAlignment="1">
      <alignment horizontal="center" vertical="center"/>
    </xf>
    <xf numFmtId="0" fontId="6" fillId="3" borderId="0" xfId="1" applyFill="1" applyAlignment="1">
      <alignment horizontal="center" vertical="center"/>
    </xf>
    <xf numFmtId="170" fontId="6" fillId="5" borderId="0" xfId="1" applyNumberFormat="1" applyFill="1" applyAlignment="1">
      <alignment horizontal="center" vertical="center"/>
    </xf>
  </cellXfs>
  <cellStyles count="4">
    <cellStyle name="Hyperlink" xfId="3" builtinId="8"/>
    <cellStyle name="Normal" xfId="0" builtinId="0"/>
    <cellStyle name="常规 2" xfId="1"/>
    <cellStyle name="常规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j-cs"/>
              </a:defRPr>
            </a:pPr>
            <a:r>
              <a:rPr lang="en-US"/>
              <a:t>PN</a:t>
            </a:r>
            <a:r>
              <a:rPr lang="zh-CN"/>
              <a:t>结的反向特性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PN结!$F$18:$F$69</c:f>
              <c:strCache>
                <c:ptCount val="52"/>
                <c:pt idx="0">
                  <c:v>辅助数据</c:v>
                </c:pt>
                <c:pt idx="41">
                  <c:v>辅助数据已隐藏</c:v>
                </c:pt>
              </c:strCache>
            </c:strRef>
          </c:tx>
          <c:spPr>
            <a:ln w="2222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PN结!$F$18:$F$69</c:f>
              <c:numCache>
                <c:formatCode>0.000_ </c:formatCode>
                <c:ptCount val="11"/>
              </c:numCache>
            </c:numRef>
          </c:cat>
          <c:val>
            <c:numRef>
              <c:f>PN结!$C$18:$C$69</c:f>
              <c:numCache>
                <c:formatCode>0.000_ </c:formatCode>
                <c:ptCount val="11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81A-4BBA-8F1B-290C4BEF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04111376"/>
        <c:axId val="2146602400"/>
      </c:lineChart>
      <c:catAx>
        <c:axId val="-210411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  <a:cs typeface="+mn-cs"/>
                  </a:defRPr>
                </a:pPr>
                <a:r>
                  <a:rPr lang="en-US"/>
                  <a:t>U/V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Microsoft YaHei UI" panose="020B0503020204020204" pitchFamily="34" charset="-122"/>
                  <a:ea typeface="Microsoft YaHei UI" panose="020B0503020204020204" pitchFamily="34" charset="-122"/>
                  <a:cs typeface="+mn-cs"/>
                </a:defRPr>
              </a:pPr>
              <a:endParaRPr lang="en-US"/>
            </a:p>
          </c:txPr>
        </c:title>
        <c:numFmt formatCode="0.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en-US"/>
          </a:p>
        </c:txPr>
        <c:crossAx val="2146602400"/>
        <c:crosses val="autoZero"/>
        <c:auto val="1"/>
        <c:lblAlgn val="ctr"/>
        <c:lblOffset val="100"/>
        <c:tickMarkSkip val="1"/>
        <c:noMultiLvlLbl val="0"/>
      </c:catAx>
      <c:valAx>
        <c:axId val="2146602400"/>
        <c:scaling>
          <c:orientation val="minMax"/>
          <c:max val="2.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  <a:cs typeface="+mn-cs"/>
                  </a:defRPr>
                </a:pPr>
                <a:r>
                  <a:rPr lang="en-US"/>
                  <a:t>I/mA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Microsoft YaHei UI" panose="020B0503020204020204" pitchFamily="34" charset="-122"/>
                  <a:ea typeface="Microsoft YaHei UI" panose="020B0503020204020204" pitchFamily="34" charset="-122"/>
                  <a:cs typeface="+mn-cs"/>
                </a:defRPr>
              </a:pPr>
              <a:endParaRPr lang="en-US"/>
            </a:p>
          </c:txPr>
        </c:title>
        <c:numFmt formatCode="0.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en-US"/>
          </a:p>
        </c:txPr>
        <c:crossAx val="-210411137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0" normalizeH="0" baseline="0">
                <a:solidFill>
                  <a:sysClr val="windowText" lastClr="000000"/>
                </a:solidFill>
                <a:latin typeface="+mn-ea"/>
                <a:ea typeface="+mn-ea"/>
                <a:cs typeface="+mj-cs"/>
              </a:defRPr>
            </a:pPr>
            <a:r>
              <a:rPr lang="en-US" b="0"/>
              <a:t>PN</a:t>
            </a:r>
            <a:r>
              <a:rPr lang="zh-CN"/>
              <a:t>结的正向特性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0" normalizeH="0" baseline="0">
              <a:solidFill>
                <a:sysClr val="windowText" lastClr="000000"/>
              </a:solidFill>
              <a:latin typeface="+mn-ea"/>
              <a:ea typeface="+mn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spPr>
            <a:ln w="2222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PN结!$B$3:$B$13</c:f>
              <c:numCache>
                <c:formatCode>0.000_ </c:formatCode>
                <c:ptCount val="11"/>
              </c:numCache>
            </c:numRef>
          </c:cat>
          <c:val>
            <c:numRef>
              <c:f>PN结!$C$3:$C$13</c:f>
              <c:numCache>
                <c:formatCode>0.000_ </c:formatCode>
                <c:ptCount val="11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07C-42DE-80AB-0BF35F966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97660464"/>
        <c:axId val="-2097662608"/>
      </c:lineChart>
      <c:catAx>
        <c:axId val="-209766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/>
                  <a:t>U/V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0.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-2097662608"/>
        <c:crossesAt val="0.0"/>
        <c:auto val="1"/>
        <c:lblAlgn val="ctr"/>
        <c:lblOffset val="100"/>
        <c:noMultiLvlLbl val="0"/>
      </c:catAx>
      <c:valAx>
        <c:axId val="-2097662608"/>
        <c:scaling>
          <c:orientation val="minMax"/>
          <c:max val="2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/>
                  <a:t>I/mA</a:t>
                </a:r>
                <a:endParaRPr 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0.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-209766046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  <a:latin typeface="+mn-ea"/>
          <a:ea typeface="+mn-e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j-cs"/>
              </a:defRPr>
            </a:pPr>
            <a:r>
              <a:rPr lang="en-US"/>
              <a:t>PN</a:t>
            </a:r>
            <a:r>
              <a:rPr lang="zh-CN"/>
              <a:t>结的反向特性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222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PN结!$B$18:$B$69</c:f>
              <c:numCache>
                <c:formatCode>0.000_ </c:formatCode>
                <c:ptCount val="11"/>
              </c:numCache>
            </c:numRef>
          </c:cat>
          <c:val>
            <c:numRef>
              <c:f>PN结!$C$18:$C$69</c:f>
              <c:numCache>
                <c:formatCode>0.000_ </c:formatCode>
                <c:ptCount val="11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F0-4FAB-82EA-8ED457783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5626832"/>
        <c:axId val="-2102374400"/>
      </c:lineChart>
      <c:catAx>
        <c:axId val="214562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  <a:cs typeface="+mn-cs"/>
                  </a:defRPr>
                </a:pPr>
                <a:r>
                  <a:rPr lang="en-US"/>
                  <a:t>U/V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Microsoft YaHei UI" panose="020B0503020204020204" pitchFamily="34" charset="-122"/>
                  <a:ea typeface="Microsoft YaHei UI" panose="020B0503020204020204" pitchFamily="34" charset="-122"/>
                  <a:cs typeface="+mn-cs"/>
                </a:defRPr>
              </a:pPr>
              <a:endParaRPr lang="en-US"/>
            </a:p>
          </c:txPr>
        </c:title>
        <c:numFmt formatCode="0.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en-US"/>
          </a:p>
        </c:txPr>
        <c:crossAx val="-2102374400"/>
        <c:crosses val="autoZero"/>
        <c:auto val="1"/>
        <c:lblAlgn val="ctr"/>
        <c:lblOffset val="100"/>
        <c:noMultiLvlLbl val="0"/>
      </c:catAx>
      <c:valAx>
        <c:axId val="-2102374400"/>
        <c:scaling>
          <c:orientation val="minMax"/>
          <c:max val="2.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  <a:cs typeface="+mn-cs"/>
                  </a:defRPr>
                </a:pPr>
                <a:r>
                  <a:rPr lang="en-US"/>
                  <a:t>I/mA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Microsoft YaHei UI" panose="020B0503020204020204" pitchFamily="34" charset="-122"/>
                  <a:ea typeface="Microsoft YaHei UI" panose="020B0503020204020204" pitchFamily="34" charset="-122"/>
                  <a:cs typeface="+mn-cs"/>
                </a:defRPr>
              </a:pPr>
              <a:endParaRPr lang="en-US"/>
            </a:p>
          </c:txPr>
        </c:title>
        <c:numFmt formatCode="0.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en-US"/>
          </a:p>
        </c:txPr>
        <c:crossAx val="214562683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0" normalizeH="0" baseline="0">
                <a:solidFill>
                  <a:sysClr val="windowText" lastClr="000000"/>
                </a:solidFill>
                <a:latin typeface="+mn-ea"/>
                <a:ea typeface="+mn-ea"/>
                <a:cs typeface="+mj-cs"/>
              </a:defRPr>
            </a:pPr>
            <a:r>
              <a:rPr lang="en-US" altLang="zh-CN"/>
              <a:t>PN</a:t>
            </a:r>
            <a:r>
              <a:rPr lang="zh-CN" altLang="en-US"/>
              <a:t>结反向特性</a:t>
            </a:r>
            <a:endParaRPr lang="en-US" altLang="zh-CN"/>
          </a:p>
        </c:rich>
      </c:tx>
      <c:layout>
        <c:manualLayout>
          <c:xMode val="edge"/>
          <c:yMode val="edge"/>
          <c:x val="0.35425678040245"/>
          <c:y val="0.0462962962962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0" normalizeH="0" baseline="0">
              <a:solidFill>
                <a:sysClr val="windowText" lastClr="000000"/>
              </a:solidFill>
              <a:latin typeface="+mn-ea"/>
              <a:ea typeface="+mn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653055555555555"/>
          <c:y val="0.242222222222222"/>
          <c:w val="0.801846894138233"/>
          <c:h val="0.706851851851852"/>
        </c:manualLayout>
      </c:layout>
      <c:scatterChart>
        <c:scatterStyle val="lineMarker"/>
        <c:varyColors val="0"/>
        <c:ser>
          <c:idx val="0"/>
          <c:order val="0"/>
          <c:tx>
            <c:strRef>
              <c:f>PN结!$C$17</c:f>
              <c:strCache>
                <c:ptCount val="1"/>
                <c:pt idx="0">
                  <c:v>I(mA)</c:v>
                </c:pt>
              </c:strCache>
            </c:strRef>
          </c:tx>
          <c:spPr>
            <a:ln w="12700" cap="rnd" cmpd="sng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PN结!$B$18:$B$69</c:f>
              <c:numCache>
                <c:formatCode>0.000_ </c:formatCode>
                <c:ptCount val="11"/>
              </c:numCache>
            </c:numRef>
          </c:xVal>
          <c:yVal>
            <c:numRef>
              <c:f>PN结!$C$18:$C$69</c:f>
              <c:numCache>
                <c:formatCode>0.000_ </c:formatCode>
                <c:ptCount val="1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BF2-4443-A97C-E847EA335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932432"/>
        <c:axId val="2113938592"/>
      </c:scatterChart>
      <c:valAx>
        <c:axId val="2113932432"/>
        <c:scaling>
          <c:orientation val="maxMin"/>
          <c:max val="8.9"/>
          <c:min val="8.1"/>
        </c:scaling>
        <c:delete val="0"/>
        <c:axPos val="t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/>
                  <a:t>U/V</a:t>
                </a:r>
              </a:p>
            </c:rich>
          </c:tx>
          <c:layout>
            <c:manualLayout>
              <c:xMode val="edge"/>
              <c:yMode val="edge"/>
              <c:x val="0.835011592300962"/>
              <c:y val="0.1064814814814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0.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2113938592"/>
        <c:crosses val="autoZero"/>
        <c:crossBetween val="midCat"/>
      </c:valAx>
      <c:valAx>
        <c:axId val="2113938592"/>
        <c:scaling>
          <c:orientation val="maxMin"/>
          <c:max val="2.0"/>
        </c:scaling>
        <c:delete val="0"/>
        <c:axPos val="r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 altLang="zh-CN"/>
                  <a:t>I/mA</a:t>
                </a:r>
                <a:endParaRPr lang="zh-C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0.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2113932432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  <a:latin typeface="+mn-ea"/>
          <a:ea typeface="+mn-e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ysClr val="windowText" lastClr="000000"/>
                </a:solidFill>
                <a:latin typeface="+mn-ea"/>
                <a:ea typeface="+mn-ea"/>
                <a:cs typeface="+mj-cs"/>
              </a:defRPr>
            </a:pPr>
            <a:r>
              <a:rPr lang="en-US"/>
              <a:t>Cu</a:t>
            </a:r>
            <a:r>
              <a:rPr lang="zh-CN"/>
              <a:t>的冷却曲线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ysClr val="windowText" lastClr="000000"/>
              </a:solidFill>
              <a:latin typeface="+mn-ea"/>
              <a:ea typeface="+mn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944111376770156"/>
          <c:y val="0.167591510425363"/>
          <c:w val="0.840345748726437"/>
          <c:h val="0.657147182407186"/>
        </c:manualLayout>
      </c:layout>
      <c:scatterChart>
        <c:scatterStyle val="lineMarker"/>
        <c:varyColors val="0"/>
        <c:ser>
          <c:idx val="0"/>
          <c:order val="0"/>
          <c:tx>
            <c:strRef>
              <c:f>金属比热容!$B$6</c:f>
              <c:strCache>
                <c:ptCount val="1"/>
                <c:pt idx="0">
                  <c:v>温度</c:v>
                </c:pt>
              </c:strCache>
            </c:strRef>
          </c:tx>
          <c:spPr>
            <a:ln w="28575" cap="flat" cmpd="dbl" algn="ctr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28575" cap="flat" cmpd="dbl" algn="ctr">
                <a:solidFill>
                  <a:sysClr val="windowText" lastClr="000000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金属比热容!$C$7:$C$20</c:f>
              <c:numCache>
                <c:formatCode>0.00_ </c:formatCode>
                <c:ptCount val="14"/>
                <c:pt idx="0">
                  <c:v>0.0</c:v>
                </c:pt>
              </c:numCache>
            </c:numRef>
          </c:xVal>
          <c:yVal>
            <c:numRef>
              <c:f>金属比热容!$B$7:$B$20</c:f>
              <c:numCache>
                <c:formatCode>General</c:formatCode>
                <c:ptCount val="14"/>
                <c:pt idx="0">
                  <c:v>161.6</c:v>
                </c:pt>
                <c:pt idx="1">
                  <c:v>151.5</c:v>
                </c:pt>
                <c:pt idx="2">
                  <c:v>141.4</c:v>
                </c:pt>
                <c:pt idx="3">
                  <c:v>131.3</c:v>
                </c:pt>
                <c:pt idx="4">
                  <c:v>121.2</c:v>
                </c:pt>
                <c:pt idx="5">
                  <c:v>111.1</c:v>
                </c:pt>
                <c:pt idx="6">
                  <c:v>101.0</c:v>
                </c:pt>
                <c:pt idx="7">
                  <c:v>90.9</c:v>
                </c:pt>
                <c:pt idx="8">
                  <c:v>80.8</c:v>
                </c:pt>
                <c:pt idx="9">
                  <c:v>70.7</c:v>
                </c:pt>
                <c:pt idx="10">
                  <c:v>60.6</c:v>
                </c:pt>
                <c:pt idx="11">
                  <c:v>50.5</c:v>
                </c:pt>
                <c:pt idx="12">
                  <c:v>40.4</c:v>
                </c:pt>
                <c:pt idx="13">
                  <c:v>30.3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0E-4366-B6D5-918149E63BE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-2105145536"/>
        <c:axId val="-2102083424"/>
      </c:scatterChart>
      <c:valAx>
        <c:axId val="-2105145536"/>
        <c:scaling>
          <c:orientation val="minMax"/>
          <c:max val="280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zh-CN"/>
                  <a:t>时间</a:t>
                </a:r>
                <a:r>
                  <a:rPr lang="en-US"/>
                  <a:t>t/s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0.88511623751467"/>
              <c:y val="0.903010785535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-2102083424"/>
        <c:crosses val="autoZero"/>
        <c:crossBetween val="midCat"/>
        <c:majorUnit val="30.0"/>
      </c:valAx>
      <c:valAx>
        <c:axId val="-2102083424"/>
        <c:scaling>
          <c:orientation val="minMax"/>
          <c:max val="165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zh-CN"/>
                  <a:t>温度</a:t>
                </a:r>
                <a:r>
                  <a:rPr lang="en-US"/>
                  <a:t>T/°C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0.0292301669550975"/>
              <c:y val="0.0369177759993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-210514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  <a:latin typeface="+mn-ea"/>
          <a:ea typeface="+mn-e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ysClr val="windowText" lastClr="000000"/>
                </a:solidFill>
                <a:latin typeface="+mn-ea"/>
                <a:ea typeface="+mn-ea"/>
                <a:cs typeface="+mj-cs"/>
              </a:defRPr>
            </a:pPr>
            <a:r>
              <a:rPr lang="zh-CN"/>
              <a:t>对数坐标中</a:t>
            </a:r>
            <a:r>
              <a:rPr lang="en-US"/>
              <a:t>Cu</a:t>
            </a:r>
            <a:r>
              <a:rPr lang="zh-CN"/>
              <a:t>的冷却速率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ysClr val="windowText" lastClr="000000"/>
              </a:solidFill>
              <a:latin typeface="+mn-ea"/>
              <a:ea typeface="+mn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343193754578"/>
          <c:y val="0.213849534789445"/>
          <c:w val="0.758634145647415"/>
          <c:h val="0.662021390914026"/>
        </c:manualLayout>
      </c:layout>
      <c:scatterChart>
        <c:scatterStyle val="lineMarker"/>
        <c:varyColors val="0"/>
        <c:ser>
          <c:idx val="0"/>
          <c:order val="0"/>
          <c:spPr>
            <a:ln w="25400" cap="flat" cmpd="sng" algn="ctr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noFill/>
                <a:round/>
              </a:ln>
              <a:effectLst/>
            </c:spPr>
          </c:marker>
          <c:trendline>
            <c:spPr>
              <a:ln w="38100" cap="rnd" cmpd="sng" algn="ctr">
                <a:solidFill>
                  <a:schemeClr val="tx1">
                    <a:alpha val="47000"/>
                  </a:schemeClr>
                </a:solidFill>
                <a:round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0770646970095468"/>
                  <c:y val="0.4172572744923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金属比热容!$B$24:$B$35</c:f>
              <c:numCache>
                <c:formatCode>General</c:formatCode>
                <c:ptCount val="12"/>
                <c:pt idx="0">
                  <c:v>151.5</c:v>
                </c:pt>
                <c:pt idx="1">
                  <c:v>141.4</c:v>
                </c:pt>
                <c:pt idx="2">
                  <c:v>131.3</c:v>
                </c:pt>
                <c:pt idx="3">
                  <c:v>121.2</c:v>
                </c:pt>
                <c:pt idx="4">
                  <c:v>111.1</c:v>
                </c:pt>
                <c:pt idx="5">
                  <c:v>101.0</c:v>
                </c:pt>
                <c:pt idx="6">
                  <c:v>90.9</c:v>
                </c:pt>
                <c:pt idx="7">
                  <c:v>80.8</c:v>
                </c:pt>
                <c:pt idx="8">
                  <c:v>70.7</c:v>
                </c:pt>
                <c:pt idx="9">
                  <c:v>60.6</c:v>
                </c:pt>
                <c:pt idx="10">
                  <c:v>50.5</c:v>
                </c:pt>
                <c:pt idx="11">
                  <c:v>40.4</c:v>
                </c:pt>
              </c:numCache>
            </c:numRef>
          </c:xVal>
          <c:yVal>
            <c:numRef>
              <c:f>金属比热容!$C$24:$C$35</c:f>
              <c:numCache>
                <c:formatCode>0.00_ </c:formatCode>
                <c:ptCount val="1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2A2-4AEE-A168-CAD4101CE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392368"/>
        <c:axId val="-2146734208"/>
      </c:scatterChart>
      <c:valAx>
        <c:axId val="2116392368"/>
        <c:scaling>
          <c:logBase val="2.0"/>
          <c:orientation val="minMax"/>
          <c:max val="250.0"/>
          <c:min val="25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l-GR"/>
                  <a:t>θ</a:t>
                </a:r>
                <a:r>
                  <a:rPr lang="en-US"/>
                  <a:t>-</a:t>
                </a:r>
                <a:r>
                  <a:rPr lang="el-GR"/>
                  <a:t>θ</a:t>
                </a:r>
                <a:r>
                  <a:rPr lang="en-US"/>
                  <a:t>0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0.894802156546061"/>
              <c:y val="0.7984515446453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-2146734208"/>
        <c:crosses val="autoZero"/>
        <c:crossBetween val="midCat"/>
      </c:valAx>
      <c:valAx>
        <c:axId val="-2146734208"/>
        <c:scaling>
          <c:logBase val="2.0"/>
          <c:orientation val="minMax"/>
          <c:max val="2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l-GR"/>
                  <a:t>Δθ</a:t>
                </a:r>
                <a:r>
                  <a:rPr lang="en-US"/>
                  <a:t>/</a:t>
                </a:r>
                <a:r>
                  <a:rPr lang="el-GR"/>
                  <a:t>Δ</a:t>
                </a:r>
                <a:r>
                  <a:rPr lang="en-US"/>
                  <a:t>t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0.0292301669550975"/>
              <c:y val="0.110483485050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2116392368"/>
        <c:crossesAt val="25.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  <a:latin typeface="+mn-ea"/>
          <a:ea typeface="+mn-e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DengXian" charset="0"/>
                <a:ea typeface="DengXian" charset="0"/>
                <a:cs typeface="DengXian" charset="0"/>
              </a:defRPr>
            </a:pPr>
            <a:r>
              <a:rPr lang="zh-CN" altLang="en-US"/>
              <a:t>测定力传感器灵敏度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DengXian" charset="0"/>
              <a:ea typeface="DengXian" charset="0"/>
              <a:cs typeface="DengXian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49364021805"/>
          <c:y val="0.172254640044994"/>
          <c:w val="0.82324994952554"/>
          <c:h val="0.705334645669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表面张力!$E$1</c:f>
              <c:strCache>
                <c:ptCount val="1"/>
                <c:pt idx="0">
                  <c:v>电压平均值/mV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0173206137694327"/>
                  <c:y val="0.4393525028121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/>
                      </a:solidFill>
                      <a:latin typeface="DengXian" charset="0"/>
                      <a:ea typeface="DengXian" charset="0"/>
                      <a:cs typeface="DengXian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表面张力!$B$2:$B$9</c:f>
              <c:numCache>
                <c:formatCode>0.0_ </c:formatCode>
                <c:ptCount val="8"/>
                <c:pt idx="0">
                  <c:v>0.0</c:v>
                </c:pt>
                <c:pt idx="1">
                  <c:v>5.0</c:v>
                </c:pt>
                <c:pt idx="2">
                  <c:v>10.0</c:v>
                </c:pt>
                <c:pt idx="3">
                  <c:v>15.0</c:v>
                </c:pt>
                <c:pt idx="4">
                  <c:v>20.0</c:v>
                </c:pt>
                <c:pt idx="5">
                  <c:v>25.0</c:v>
                </c:pt>
                <c:pt idx="6">
                  <c:v>30.0</c:v>
                </c:pt>
                <c:pt idx="7">
                  <c:v>35.0</c:v>
                </c:pt>
              </c:numCache>
            </c:numRef>
          </c:xVal>
          <c:yVal>
            <c:numRef>
              <c:f>表面张力!$E$2:$E$9</c:f>
              <c:numCache>
                <c:formatCode>0.0_ </c:formatCode>
                <c:ptCount val="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B6-4C62-91CC-390AA15E9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56288"/>
        <c:axId val="2143662416"/>
      </c:scatterChart>
      <c:valAx>
        <c:axId val="2143656288"/>
        <c:scaling>
          <c:orientation val="minMax"/>
          <c:max val="35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DengXian" charset="0"/>
                    <a:ea typeface="DengXian" charset="0"/>
                    <a:cs typeface="DengXian" charset="0"/>
                  </a:defRPr>
                </a:pPr>
                <a:r>
                  <a:rPr lang="en-US" altLang="zh-CN"/>
                  <a:t>F/N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891182717544922"/>
              <c:y val="0.931160714285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DengXian" charset="0"/>
                  <a:ea typeface="DengXian" charset="0"/>
                  <a:cs typeface="DengXian" charset="0"/>
                </a:defRPr>
              </a:pPr>
              <a:endParaRPr lang="en-US"/>
            </a:p>
          </c:txPr>
        </c:title>
        <c:numFmt formatCode="0.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DengXian" charset="0"/>
                <a:ea typeface="DengXian" charset="0"/>
                <a:cs typeface="DengXian" charset="0"/>
              </a:defRPr>
            </a:pPr>
            <a:endParaRPr lang="en-US"/>
          </a:p>
        </c:txPr>
        <c:crossAx val="2143662416"/>
        <c:crosses val="autoZero"/>
        <c:crossBetween val="midCat"/>
      </c:valAx>
      <c:valAx>
        <c:axId val="2143662416"/>
        <c:scaling>
          <c:orientation val="minMax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DengXian" charset="0"/>
                    <a:ea typeface="DengXian" charset="0"/>
                    <a:cs typeface="DengXian" charset="0"/>
                  </a:defRPr>
                </a:pPr>
                <a:r>
                  <a:rPr lang="zh-CN" altLang="en-US"/>
                  <a:t>电压平均值</a:t>
                </a:r>
                <a:r>
                  <a:rPr lang="en-US" altLang="zh-CN"/>
                  <a:t>/mV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0205128205128205"/>
              <c:y val="0.06862732002249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DengXian" charset="0"/>
                  <a:ea typeface="DengXian" charset="0"/>
                  <a:cs typeface="DengXian" charset="0"/>
                </a:defRPr>
              </a:pPr>
              <a:endParaRPr lang="en-US"/>
            </a:p>
          </c:txPr>
        </c:title>
        <c:numFmt formatCode="0.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DengXian" charset="0"/>
                <a:ea typeface="DengXian" charset="0"/>
                <a:cs typeface="DengXian" charset="0"/>
              </a:defRPr>
            </a:pPr>
            <a:endParaRPr lang="en-US"/>
          </a:p>
        </c:txPr>
        <c:crossAx val="214365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DengXian" charset="0"/>
          <a:ea typeface="DengXian" charset="0"/>
          <a:cs typeface="DengXian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DengXian" charset="0"/>
                <a:ea typeface="DengXian" charset="0"/>
                <a:cs typeface="DengXian" charset="0"/>
              </a:defRPr>
            </a:pPr>
            <a:r>
              <a:rPr lang="zh-CN"/>
              <a:t>用</a:t>
            </a:r>
            <a:r>
              <a:rPr lang="en-US"/>
              <a:t>UJ33a</a:t>
            </a:r>
            <a:r>
              <a:rPr lang="zh-CN"/>
              <a:t>型直流携带式电位差计校准毫安表</a:t>
            </a:r>
            <a:endParaRPr lang="mr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DengXian" charset="0"/>
              <a:ea typeface="DengXian" charset="0"/>
              <a:cs typeface="DengXian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电位差计!$G$2</c:f>
              <c:strCache>
                <c:ptCount val="1"/>
                <c:pt idx="0">
                  <c:v>△I/µA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noFill/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dash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0931156874621441"/>
                  <c:y val="0.441844269466317"/>
                </c:manualLayout>
              </c:layout>
              <c:numFmt formatCode="#,##0.000_ 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DengXian" charset="0"/>
                      <a:ea typeface="DengXian" charset="0"/>
                      <a:cs typeface="DengXian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电位差计!$A$3:$A$14</c:f>
              <c:numCache>
                <c:formatCode>General</c:formatCode>
                <c:ptCount val="12"/>
                <c:pt idx="2">
                  <c:v>200.0</c:v>
                </c:pt>
                <c:pt idx="3">
                  <c:v>400.0</c:v>
                </c:pt>
                <c:pt idx="4">
                  <c:v>600.0</c:v>
                </c:pt>
                <c:pt idx="5">
                  <c:v>800.0</c:v>
                </c:pt>
                <c:pt idx="6">
                  <c:v>1000.0</c:v>
                </c:pt>
                <c:pt idx="7">
                  <c:v>1200.0</c:v>
                </c:pt>
                <c:pt idx="8">
                  <c:v>1400.0</c:v>
                </c:pt>
                <c:pt idx="9">
                  <c:v>1600.0</c:v>
                </c:pt>
                <c:pt idx="10">
                  <c:v>1800.0</c:v>
                </c:pt>
                <c:pt idx="11">
                  <c:v>1999.0</c:v>
                </c:pt>
              </c:numCache>
            </c:numRef>
          </c:xVal>
          <c:yVal>
            <c:numRef>
              <c:f>电位差计!$G$3:$G$14</c:f>
              <c:numCache>
                <c:formatCode>General</c:formatCode>
                <c:ptCount val="12"/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21F-4034-BEFD-9560A62E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435568"/>
        <c:axId val="2146136016"/>
      </c:scatterChart>
      <c:valAx>
        <c:axId val="2147435568"/>
        <c:scaling>
          <c:orientation val="minMax"/>
          <c:max val="200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DengXian" charset="0"/>
                    <a:ea typeface="DengXian" charset="0"/>
                    <a:cs typeface="DengXian" charset="0"/>
                  </a:defRPr>
                </a:pPr>
                <a:r>
                  <a:rPr lang="mr-IN"/>
                  <a:t>I/µA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0.918825762164345"/>
              <c:y val="0.8746442694663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DengXian" charset="0"/>
                  <a:ea typeface="DengXian" charset="0"/>
                  <a:cs typeface="DengXian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engXian" charset="0"/>
                <a:ea typeface="DengXian" charset="0"/>
                <a:cs typeface="DengXian" charset="0"/>
              </a:defRPr>
            </a:pPr>
            <a:endParaRPr lang="en-US"/>
          </a:p>
        </c:txPr>
        <c:crossAx val="2146136016"/>
        <c:crosses val="autoZero"/>
        <c:crossBetween val="midCat"/>
      </c:valAx>
      <c:valAx>
        <c:axId val="214613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DengXian" charset="0"/>
                    <a:ea typeface="DengXian" charset="0"/>
                    <a:cs typeface="DengXian" charset="0"/>
                  </a:defRPr>
                </a:pPr>
                <a:r>
                  <a:rPr lang="mr-IN"/>
                  <a:t>△I/µA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DengXian" charset="0"/>
                  <a:ea typeface="DengXian" charset="0"/>
                  <a:cs typeface="DengXian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engXian" charset="0"/>
                <a:ea typeface="DengXian" charset="0"/>
                <a:cs typeface="DengXian" charset="0"/>
              </a:defRPr>
            </a:pPr>
            <a:endParaRPr lang="en-US"/>
          </a:p>
        </c:txPr>
        <c:crossAx val="214743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DengXian" charset="0"/>
          <a:ea typeface="DengXian" charset="0"/>
          <a:cs typeface="DengXian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ysClr val="windowText" lastClr="000000"/>
                </a:solidFill>
                <a:latin typeface="+mn-ea"/>
                <a:ea typeface="+mn-ea"/>
                <a:cs typeface="+mj-cs"/>
              </a:defRPr>
            </a:pPr>
            <a:r>
              <a:rPr lang="zh-CN"/>
              <a:t>弗兰克赫兹管</a:t>
            </a:r>
            <a:r>
              <a:rPr lang="en-US"/>
              <a:t>IP-UG2</a:t>
            </a:r>
            <a:r>
              <a:rPr lang="zh-CN"/>
              <a:t>曲线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ysClr val="windowText" lastClr="000000"/>
              </a:solidFill>
              <a:latin typeface="+mn-ea"/>
              <a:ea typeface="+mn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820874125572"/>
          <c:y val="0.118102672322877"/>
          <c:w val="0.87170076189349"/>
          <c:h val="0.767069916984691"/>
        </c:manualLayout>
      </c:layout>
      <c:scatterChart>
        <c:scatterStyle val="lineMarker"/>
        <c:varyColors val="0"/>
        <c:ser>
          <c:idx val="0"/>
          <c:order val="0"/>
          <c:tx>
            <c:strRef>
              <c:f>弗兰克赫兹实验!$E$3:$F$3</c:f>
              <c:strCache>
                <c:ptCount val="1"/>
                <c:pt idx="0">
                  <c:v>UG2 IP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6350" cap="flat" cmpd="sng" algn="ctr">
                <a:solidFill>
                  <a:sysClr val="windowText" lastClr="000000"/>
                </a:solidFill>
                <a:prstDash val="solid"/>
                <a:round/>
              </a:ln>
              <a:effectLst/>
            </c:spPr>
          </c:marker>
          <c:xVal>
            <c:numRef>
              <c:f>弗兰克赫兹实验!$E$4:$E$79</c:f>
              <c:numCache>
                <c:formatCode>General</c:formatCode>
                <c:ptCount val="7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</c:numCache>
            </c:numRef>
          </c:xVal>
          <c:yVal>
            <c:numRef>
              <c:f>弗兰克赫兹实验!$F$4:$F$79</c:f>
              <c:numCache>
                <c:formatCode>0.00E+00</c:formatCode>
                <c:ptCount val="7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CF9-4644-8E29-38DF755AA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812144"/>
        <c:axId val="-2098690176"/>
      </c:scatterChart>
      <c:valAx>
        <c:axId val="2141812144"/>
        <c:scaling>
          <c:orientation val="minMax"/>
          <c:max val="90.0"/>
          <c:min val="1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 sz="1100"/>
                  <a:t>UG2/V</a:t>
                </a:r>
                <a:endParaRPr lang="zh-CN" sz="1100"/>
              </a:p>
            </c:rich>
          </c:tx>
          <c:layout>
            <c:manualLayout>
              <c:xMode val="edge"/>
              <c:yMode val="edge"/>
              <c:x val="0.945236189818272"/>
              <c:y val="0.9335630462215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-2098690176"/>
        <c:crosses val="autoZero"/>
        <c:crossBetween val="midCat"/>
      </c:valAx>
      <c:valAx>
        <c:axId val="-20986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 sz="1100"/>
                  <a:t>Ip/A</a:t>
                </a:r>
              </a:p>
            </c:rich>
          </c:tx>
          <c:layout>
            <c:manualLayout>
              <c:xMode val="edge"/>
              <c:yMode val="edge"/>
              <c:x val="0.050760236722949"/>
              <c:y val="0.05145697112732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cap="all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214181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ea"/>
          <a:ea typeface="+mn-e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200006033983"/>
          <c:y val="0.117070542365875"/>
          <c:w val="0.86378244861348"/>
          <c:h val="0.692269153106489"/>
        </c:manualLayout>
      </c:layout>
      <c:lineChart>
        <c:grouping val="standard"/>
        <c:varyColors val="0"/>
        <c:ser>
          <c:idx val="0"/>
          <c:order val="0"/>
          <c:tx>
            <c:strRef>
              <c:f>弗兰克赫兹实验!$O$48</c:f>
              <c:strCache>
                <c:ptCount val="1"/>
                <c:pt idx="0">
                  <c:v>峰值位置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-0.0652562763880692"/>
                  <c:y val="-0.04965065674558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EDB-4684-B753-40183B8513E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5400" cap="flat" cmpd="sng">
                <a:solidFill>
                  <a:schemeClr val="tx1"/>
                </a:solidFill>
                <a:prstDash val="sysDash"/>
                <a:round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08658433188239"/>
                  <c:y val="0.47293178885757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弗兰克赫兹实验!$P$47:$U$47</c:f>
              <c:numCache>
                <c:formatCode>General</c:formatCode>
                <c:ptCount val="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</c:numCache>
            </c:numRef>
          </c:cat>
          <c:val>
            <c:numRef>
              <c:f>弗兰克赫兹实验!$P$48:$U$48</c:f>
              <c:numCache>
                <c:formatCode>General</c:formatCode>
                <c:ptCount val="6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EDB-4684-B753-40183B8513E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-2103939184"/>
        <c:axId val="-2103955952"/>
      </c:lineChart>
      <c:catAx>
        <c:axId val="-2103939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zh-CN"/>
                  <a:t>峰值序号</a:t>
                </a:r>
                <a:r>
                  <a:rPr lang="en-US"/>
                  <a:t>/n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0.880038617490737"/>
              <c:y val="0.8825029988146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-2103955952"/>
        <c:crosses val="autoZero"/>
        <c:auto val="1"/>
        <c:lblAlgn val="ctr"/>
        <c:lblOffset val="100"/>
        <c:noMultiLvlLbl val="0"/>
      </c:catAx>
      <c:valAx>
        <c:axId val="-2103955952"/>
        <c:scaling>
          <c:orientation val="minMax"/>
          <c:min val="25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zh-CN"/>
                  <a:t>峰值位置</a:t>
                </a:r>
                <a:r>
                  <a:rPr lang="en-US"/>
                  <a:t>/V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0.0123507950699217"/>
              <c:y val="0.02295593630839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cap="all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-210393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+mn-ea"/>
          <a:ea typeface="+mn-e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 panose="02010600030101010101" pitchFamily="2" charset="-122"/>
                <a:ea typeface="等线" panose="02010600030101010101" pitchFamily="2" charset="-122"/>
                <a:cs typeface="+mn-cs"/>
              </a:defRPr>
            </a:pPr>
            <a:r>
              <a:rPr lang="zh-CN"/>
              <a:t>螺线管轴线上磁场分布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 panose="02010600030101010101" pitchFamily="2" charset="-122"/>
              <a:ea typeface="等线" panose="02010600030101010101" pitchFamily="2" charset="-122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B/KGS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霍尔效应!$E$27:$E$45</c15:sqref>
                  </c15:fullRef>
                </c:ext>
              </c:extLst>
              <c:f>霍尔效应!$E$29:$E$45</c:f>
              <c:strCache>
                <c:ptCount val="17"/>
                <c:pt idx="0">
                  <c:v>14.0 </c:v>
                </c:pt>
                <c:pt idx="1">
                  <c:v>13.5 </c:v>
                </c:pt>
                <c:pt idx="2">
                  <c:v>13.0 </c:v>
                </c:pt>
                <c:pt idx="3">
                  <c:v>12.5 </c:v>
                </c:pt>
                <c:pt idx="4">
                  <c:v>12.0 </c:v>
                </c:pt>
                <c:pt idx="5">
                  <c:v>9.0 </c:v>
                </c:pt>
                <c:pt idx="6">
                  <c:v>6.0 </c:v>
                </c:pt>
                <c:pt idx="7">
                  <c:v>3.0 </c:v>
                </c:pt>
                <c:pt idx="8">
                  <c:v>0.0 </c:v>
                </c:pt>
                <c:pt idx="9">
                  <c:v>-3.0 </c:v>
                </c:pt>
                <c:pt idx="10">
                  <c:v>-6.0 </c:v>
                </c:pt>
                <c:pt idx="11">
                  <c:v>-9.0 </c:v>
                </c:pt>
                <c:pt idx="12">
                  <c:v>-12.0 </c:v>
                </c:pt>
                <c:pt idx="13">
                  <c:v>-12.5 </c:v>
                </c:pt>
                <c:pt idx="14">
                  <c:v>-13.0 </c:v>
                </c:pt>
                <c:pt idx="15">
                  <c:v>-13.5 </c:v>
                </c:pt>
                <c:pt idx="16">
                  <c:v>-14.0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霍尔效应!$K$27:$K$45</c15:sqref>
                  </c15:fullRef>
                </c:ext>
              </c:extLst>
              <c:f>霍尔效应!$K$29:$K$45</c:f>
              <c:numCache>
                <c:formatCode>General</c:formatCode>
                <c:ptCount val="17"/>
                <c:pt idx="0" formatCode="0.000_ ">
                  <c:v>0.0</c:v>
                </c:pt>
                <c:pt idx="1" formatCode="0.000_ ">
                  <c:v>0.0</c:v>
                </c:pt>
                <c:pt idx="2" formatCode="0.000_ ">
                  <c:v>0.0</c:v>
                </c:pt>
                <c:pt idx="3" formatCode="0.000_ ">
                  <c:v>0.0</c:v>
                </c:pt>
                <c:pt idx="4" formatCode="0.000_ ">
                  <c:v>0.0</c:v>
                </c:pt>
                <c:pt idx="5" formatCode="0.000_ ">
                  <c:v>0.0</c:v>
                </c:pt>
                <c:pt idx="6" formatCode="0.000_ ">
                  <c:v>0.0</c:v>
                </c:pt>
                <c:pt idx="7" formatCode="0.000_ ">
                  <c:v>0.0</c:v>
                </c:pt>
                <c:pt idx="8" formatCode="0.000_ ">
                  <c:v>0.0</c:v>
                </c:pt>
                <c:pt idx="9" formatCode="0.000_ ">
                  <c:v>0.0</c:v>
                </c:pt>
                <c:pt idx="10" formatCode="0.000_ ">
                  <c:v>0.0</c:v>
                </c:pt>
                <c:pt idx="11" formatCode="0.000_ ">
                  <c:v>0.0</c:v>
                </c:pt>
                <c:pt idx="12" formatCode="0.000_ ">
                  <c:v>0.0</c:v>
                </c:pt>
                <c:pt idx="13" formatCode="0.000_ ">
                  <c:v>0.0</c:v>
                </c:pt>
                <c:pt idx="14" formatCode="0.000_ ">
                  <c:v>0.0</c:v>
                </c:pt>
                <c:pt idx="15" formatCode="0.000_ ">
                  <c:v>0.0</c:v>
                </c:pt>
                <c:pt idx="16" formatCode="0.000_ ">
                  <c:v>0.0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E0-46EE-A666-A422B3BF6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6210592"/>
        <c:axId val="2091543600"/>
      </c:lineChart>
      <c:catAx>
        <c:axId val="2146210592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等线" panose="02010600030101010101" pitchFamily="2" charset="-122"/>
                    <a:ea typeface="等线" panose="02010600030101010101" pitchFamily="2" charset="-122"/>
                    <a:cs typeface="+mn-cs"/>
                  </a:defRPr>
                </a:pPr>
                <a:r>
                  <a:rPr lang="en-US"/>
                  <a:t>X/cm</a:t>
                </a:r>
              </a:p>
            </c:rich>
          </c:tx>
          <c:layout>
            <c:manualLayout>
              <c:xMode val="edge"/>
              <c:yMode val="edge"/>
              <c:x val="0.87114810658114"/>
              <c:y val="0.846089520881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等线" panose="02010600030101010101" pitchFamily="2" charset="-122"/>
                  <a:ea typeface="等线" panose="02010600030101010101" pitchFamily="2" charset="-122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 panose="02010600030101010101" pitchFamily="2" charset="-122"/>
                <a:ea typeface="等线" panose="02010600030101010101" pitchFamily="2" charset="-122"/>
                <a:cs typeface="+mn-cs"/>
              </a:defRPr>
            </a:pPr>
            <a:endParaRPr lang="en-US"/>
          </a:p>
        </c:txPr>
        <c:crossAx val="2091543600"/>
        <c:crosses val="autoZero"/>
        <c:auto val="1"/>
        <c:lblAlgn val="ctr"/>
        <c:lblOffset val="100"/>
        <c:noMultiLvlLbl val="0"/>
      </c:catAx>
      <c:valAx>
        <c:axId val="2091543600"/>
        <c:scaling>
          <c:orientation val="minMax"/>
          <c:min val="200.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等线" panose="02010600030101010101" pitchFamily="2" charset="-122"/>
                    <a:ea typeface="等线" panose="02010600030101010101" pitchFamily="2" charset="-122"/>
                    <a:cs typeface="+mn-cs"/>
                  </a:defRPr>
                </a:pPr>
                <a:r>
                  <a:rPr lang="en-US"/>
                  <a:t>B/GS</a:t>
                </a:r>
              </a:p>
            </c:rich>
          </c:tx>
          <c:layout>
            <c:manualLayout>
              <c:xMode val="edge"/>
              <c:yMode val="edge"/>
              <c:x val="0.00893879286053254"/>
              <c:y val="0.08416215707371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等线" panose="02010600030101010101" pitchFamily="2" charset="-122"/>
                  <a:ea typeface="等线" panose="02010600030101010101" pitchFamily="2" charset="-122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 panose="02010600030101010101" pitchFamily="2" charset="-122"/>
                <a:ea typeface="等线" panose="02010600030101010101" pitchFamily="2" charset="-122"/>
                <a:cs typeface="+mn-cs"/>
              </a:defRPr>
            </a:pPr>
            <a:endParaRPr lang="en-US"/>
          </a:p>
        </c:txPr>
        <c:crossAx val="214621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等线" panose="02010600030101010101" pitchFamily="2" charset="-122"/>
          <a:ea typeface="等线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 panose="02010600030101010101" pitchFamily="2" charset="-122"/>
                <a:ea typeface="等线" panose="02010600030101010101" pitchFamily="2" charset="-122"/>
                <a:cs typeface="+mn-cs"/>
              </a:defRPr>
            </a:pPr>
            <a:r>
              <a:rPr lang="en-US"/>
              <a:t>VH-IS</a:t>
            </a:r>
            <a:r>
              <a:rPr lang="zh-CN"/>
              <a:t>曲线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 panose="02010600030101010101" pitchFamily="2" charset="-122"/>
              <a:ea typeface="等线" panose="02010600030101010101" pitchFamily="2" charset="-122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76400360335"/>
          <c:y val="0.199820714718352"/>
          <c:w val="0.860082958061114"/>
          <c:h val="0.644871391076116"/>
        </c:manualLayout>
      </c:layou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霍尔效应!$C$5:$C$13</c15:sqref>
                  </c15:fullRef>
                </c:ext>
              </c:extLst>
              <c:f>霍尔效应!$C$7:$C$13</c:f>
              <c:strCache>
                <c:ptCount val="7"/>
                <c:pt idx="0">
                  <c:v>1.00 </c:v>
                </c:pt>
                <c:pt idx="1">
                  <c:v>1.50 </c:v>
                </c:pt>
                <c:pt idx="2">
                  <c:v>2.00 </c:v>
                </c:pt>
                <c:pt idx="3">
                  <c:v>1.50 </c:v>
                </c:pt>
                <c:pt idx="4">
                  <c:v>3.00 </c:v>
                </c:pt>
                <c:pt idx="5">
                  <c:v>3.50 </c:v>
                </c:pt>
                <c:pt idx="6">
                  <c:v>4.00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霍尔效应!$H$5:$H$13</c15:sqref>
                  </c15:fullRef>
                </c:ext>
              </c:extLst>
              <c:f>霍尔效应!$H$7:$H$13</c:f>
              <c:numCache>
                <c:formatCode>General</c:formatCode>
                <c:ptCount val="7"/>
                <c:pt idx="0" formatCode="0.00_ ">
                  <c:v>0.0</c:v>
                </c:pt>
                <c:pt idx="1" formatCode="0.00_ ">
                  <c:v>0.0</c:v>
                </c:pt>
                <c:pt idx="2" formatCode="0.00_ ">
                  <c:v>0.0</c:v>
                </c:pt>
                <c:pt idx="3" formatCode="0.00_ ">
                  <c:v>0.0</c:v>
                </c:pt>
                <c:pt idx="4" formatCode="0.00_ ">
                  <c:v>0.0</c:v>
                </c:pt>
                <c:pt idx="5" formatCode="0.00_ ">
                  <c:v>0.0</c:v>
                </c:pt>
                <c:pt idx="6" formatCode="0.00_ ">
                  <c:v>0.0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F6-402F-A610-6869FB105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4256880"/>
        <c:axId val="2147114080"/>
      </c:lineChart>
      <c:catAx>
        <c:axId val="2144256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等线" panose="02010600030101010101" pitchFamily="2" charset="-122"/>
                    <a:ea typeface="等线" panose="02010600030101010101" pitchFamily="2" charset="-122"/>
                    <a:cs typeface="+mn-cs"/>
                  </a:defRPr>
                </a:pPr>
                <a:r>
                  <a:rPr lang="en-US"/>
                  <a:t>IS/mA</a:t>
                </a:r>
              </a:p>
            </c:rich>
          </c:tx>
          <c:layout>
            <c:manualLayout>
              <c:xMode val="edge"/>
              <c:yMode val="edge"/>
              <c:x val="0.857289763549732"/>
              <c:y val="0.9151282051282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等线" panose="02010600030101010101" pitchFamily="2" charset="-122"/>
                  <a:ea typeface="等线" panose="02010600030101010101" pitchFamily="2" charset="-122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 panose="02010600030101010101" pitchFamily="2" charset="-122"/>
                <a:ea typeface="等线" panose="02010600030101010101" pitchFamily="2" charset="-122"/>
                <a:cs typeface="+mn-cs"/>
              </a:defRPr>
            </a:pPr>
            <a:endParaRPr lang="en-US"/>
          </a:p>
        </c:txPr>
        <c:crossAx val="2147114080"/>
        <c:crosses val="autoZero"/>
        <c:auto val="1"/>
        <c:lblAlgn val="ctr"/>
        <c:lblOffset val="100"/>
        <c:noMultiLvlLbl val="0"/>
      </c:catAx>
      <c:valAx>
        <c:axId val="2147114080"/>
        <c:scaling>
          <c:orientation val="minMax"/>
          <c:max val="11.0"/>
          <c:min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等线" panose="02010600030101010101" pitchFamily="2" charset="-122"/>
                    <a:ea typeface="等线" panose="02010600030101010101" pitchFamily="2" charset="-122"/>
                    <a:cs typeface="+mn-cs"/>
                  </a:defRPr>
                </a:pPr>
                <a:r>
                  <a:rPr lang="en-US"/>
                  <a:t>VH/mA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0.0175380209102923"/>
              <c:y val="0.1182818493842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等线" panose="02010600030101010101" pitchFamily="2" charset="-122"/>
                  <a:ea typeface="等线" panose="02010600030101010101" pitchFamily="2" charset="-122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 panose="02010600030101010101" pitchFamily="2" charset="-122"/>
                <a:ea typeface="等线" panose="02010600030101010101" pitchFamily="2" charset="-122"/>
                <a:cs typeface="+mn-cs"/>
              </a:defRPr>
            </a:pPr>
            <a:endParaRPr lang="en-US"/>
          </a:p>
        </c:txPr>
        <c:crossAx val="214425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等线" panose="02010600030101010101" pitchFamily="2" charset="-122"/>
          <a:ea typeface="等线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 panose="02010600030101010101" pitchFamily="2" charset="-122"/>
                <a:ea typeface="等线" panose="02010600030101010101" pitchFamily="2" charset="-122"/>
                <a:cs typeface="+mn-cs"/>
              </a:defRPr>
            </a:pPr>
            <a:r>
              <a:rPr lang="en-US"/>
              <a:t>VH-IM</a:t>
            </a:r>
            <a:r>
              <a:rPr lang="zh-CN"/>
              <a:t>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等线" panose="02010600030101010101" pitchFamily="2" charset="-122"/>
              <a:ea typeface="等线" panose="02010600030101010101" pitchFamily="2" charset="-122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411100876763"/>
          <c:y val="0.218631788504309"/>
          <c:w val="0.862435860787701"/>
          <c:h val="0.588995777190467"/>
        </c:manualLayout>
      </c:layou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霍尔效应!$C$18:$C$24</c15:sqref>
                  </c15:fullRef>
                </c:ext>
              </c:extLst>
              <c:f>霍尔效应!$C$20:$C$24</c:f>
              <c:strCache>
                <c:ptCount val="5"/>
                <c:pt idx="0">
                  <c:v>0.30 </c:v>
                </c:pt>
                <c:pt idx="1">
                  <c:v>0.40 </c:v>
                </c:pt>
                <c:pt idx="2">
                  <c:v>0.50 </c:v>
                </c:pt>
                <c:pt idx="3">
                  <c:v>0.60 </c:v>
                </c:pt>
                <c:pt idx="4">
                  <c:v>0.70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霍尔效应!$H$18:$H$24</c15:sqref>
                  </c15:fullRef>
                </c:ext>
              </c:extLst>
              <c:f>霍尔效应!$H$20:$H$24</c:f>
              <c:numCache>
                <c:formatCode>General</c:formatCode>
                <c:ptCount val="5"/>
                <c:pt idx="0" formatCode="0.00_ ">
                  <c:v>0.0</c:v>
                </c:pt>
                <c:pt idx="1" formatCode="0.00_ ">
                  <c:v>0.0</c:v>
                </c:pt>
                <c:pt idx="2" formatCode="0.00_ ">
                  <c:v>0.0</c:v>
                </c:pt>
                <c:pt idx="3" formatCode="0.00_ ">
                  <c:v>0.0</c:v>
                </c:pt>
                <c:pt idx="4" formatCode="0.00_ ">
                  <c:v>0.0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909-4FFA-9828-FABF759F8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3383728"/>
        <c:axId val="2143389680"/>
      </c:lineChart>
      <c:catAx>
        <c:axId val="2143383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等线" panose="02010600030101010101" pitchFamily="2" charset="-122"/>
                    <a:ea typeface="等线" panose="02010600030101010101" pitchFamily="2" charset="-122"/>
                    <a:cs typeface="+mn-cs"/>
                  </a:defRPr>
                </a:pPr>
                <a:r>
                  <a:rPr lang="en-US"/>
                  <a:t>IM/A</a:t>
                </a:r>
              </a:p>
            </c:rich>
          </c:tx>
          <c:layout>
            <c:manualLayout>
              <c:xMode val="edge"/>
              <c:yMode val="edge"/>
              <c:x val="0.833986060725742"/>
              <c:y val="0.8959164486339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等线" panose="02010600030101010101" pitchFamily="2" charset="-122"/>
                  <a:ea typeface="等线" panose="02010600030101010101" pitchFamily="2" charset="-122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 panose="02010600030101010101" pitchFamily="2" charset="-122"/>
                <a:ea typeface="等线" panose="02010600030101010101" pitchFamily="2" charset="-122"/>
                <a:cs typeface="+mn-cs"/>
              </a:defRPr>
            </a:pPr>
            <a:endParaRPr lang="en-US"/>
          </a:p>
        </c:txPr>
        <c:crossAx val="2143389680"/>
        <c:crosses val="autoZero"/>
        <c:auto val="1"/>
        <c:lblAlgn val="ctr"/>
        <c:lblOffset val="100"/>
        <c:noMultiLvlLbl val="0"/>
      </c:catAx>
      <c:valAx>
        <c:axId val="2143389680"/>
        <c:scaling>
          <c:orientation val="minMax"/>
          <c:min val="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等线" panose="02010600030101010101" pitchFamily="2" charset="-122"/>
                    <a:ea typeface="等线" panose="02010600030101010101" pitchFamily="2" charset="-122"/>
                    <a:cs typeface="+mn-cs"/>
                  </a:defRPr>
                </a:pPr>
                <a:r>
                  <a:rPr lang="en-US"/>
                  <a:t>VH/mV</a:t>
                </a:r>
              </a:p>
            </c:rich>
          </c:tx>
          <c:layout>
            <c:manualLayout>
              <c:xMode val="edge"/>
              <c:yMode val="edge"/>
              <c:x val="0.0146150174252436"/>
              <c:y val="0.08795796806781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等线" panose="02010600030101010101" pitchFamily="2" charset="-122"/>
                  <a:ea typeface="等线" panose="02010600030101010101" pitchFamily="2" charset="-122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等线" panose="02010600030101010101" pitchFamily="2" charset="-122"/>
                <a:ea typeface="等线" panose="02010600030101010101" pitchFamily="2" charset="-122"/>
                <a:cs typeface="+mn-cs"/>
              </a:defRPr>
            </a:pPr>
            <a:endParaRPr lang="en-US"/>
          </a:p>
        </c:txPr>
        <c:crossAx val="214338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等线" panose="02010600030101010101" pitchFamily="2" charset="-122"/>
          <a:ea typeface="等线" panose="02010600030101010101" pitchFamily="2" charset="-122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ysClr val="windowText" lastClr="000000"/>
                </a:solidFill>
                <a:latin typeface="+mn-ea"/>
                <a:ea typeface="+mn-ea"/>
                <a:cs typeface="+mj-cs"/>
              </a:defRPr>
            </a:pPr>
            <a:r>
              <a:rPr lang="en-US" sz="2000"/>
              <a:t>RLC</a:t>
            </a:r>
            <a:r>
              <a:rPr lang="zh-CN" sz="2000"/>
              <a:t>谐振</a:t>
            </a:r>
            <a:r>
              <a:rPr lang="en-US" sz="2000"/>
              <a:t>i-f</a:t>
            </a:r>
            <a:r>
              <a:rPr lang="zh-CN" sz="2000"/>
              <a:t>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ysClr val="windowText" lastClr="000000"/>
              </a:solidFill>
              <a:latin typeface="+mn-ea"/>
              <a:ea typeface="+mn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RLC谐振电路!$D$3</c:f>
              <c:strCache>
                <c:ptCount val="1"/>
                <c:pt idx="0">
                  <c:v>i/mA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tx1"/>
              </a:solidFill>
              <a:ln w="19050">
                <a:solidFill>
                  <a:sysClr val="windowText" lastClr="000000"/>
                </a:solidFill>
                <a:round/>
              </a:ln>
              <a:effectLst/>
            </c:spPr>
          </c:marker>
          <c:dLbls>
            <c:dLbl>
              <c:idx val="5"/>
              <c:layout>
                <c:manualLayout>
                  <c:x val="-0.0440078806365079"/>
                  <c:y val="-0.04596664071063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0553604729147919"/>
                  <c:y val="-0.051189374902459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059764366068506"/>
                  <c:y val="-0.048578007806548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0.0553604729147918"/>
                  <c:y val="-0.064246210382014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0.0806108738065408"/>
                  <c:y val="-0.032909805231082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0.0840852917628801"/>
                  <c:y val="0.0034603698312666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-0.000699260810740384"/>
                  <c:y val="-0.032909805231082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0.014596932636097"/>
                  <c:y val="-0.035521172326993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0.000230214386634471"/>
                  <c:y val="-0.040743906518815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layout>
                <c:manualLayout>
                  <c:x val="0.0137760671968847"/>
                  <c:y val="-0.04596664071063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layout>
                <c:manualLayout>
                  <c:x val="-0.0067186215260437"/>
                  <c:y val="-0.040743906518815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B83B-48C5-8211-B3D2809BED84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layout>
                <c:manualLayout>
                  <c:x val="-0.0101930394823829"/>
                  <c:y val="-0.043355273614726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B83B-48C5-8211-B3D2809BED8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RLC谐振电路!$B$4:$B$25</c:f>
              <c:numCache>
                <c:formatCode>General</c:formatCode>
                <c:ptCount val="22"/>
              </c:numCache>
            </c:numRef>
          </c:xVal>
          <c:yVal>
            <c:numRef>
              <c:f>RLC谐振电路!$D$4:$D$25</c:f>
              <c:numCache>
                <c:formatCode>General</c:formatCode>
                <c:ptCount val="2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B83B-48C5-8211-B3D2809BED84}"/>
            </c:ext>
          </c:extLst>
        </c:ser>
        <c:ser>
          <c:idx val="1"/>
          <c:order val="1"/>
          <c:tx>
            <c:strRef>
              <c:f>RLC谐振电路!$J$3</c:f>
              <c:strCache>
                <c:ptCount val="1"/>
                <c:pt idx="0">
                  <c:v>i/√2/mA</c:v>
                </c:pt>
              </c:strCache>
            </c:strRef>
          </c:tx>
          <c:spPr>
            <a:ln w="12700" cap="rnd">
              <a:solidFill>
                <a:sysClr val="windowText" lastClr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tx1"/>
              </a:solidFill>
              <a:ln w="12700">
                <a:solidFill>
                  <a:sysClr val="windowText" lastClr="000000"/>
                </a:solidFill>
                <a:round/>
              </a:ln>
              <a:effectLst/>
            </c:spPr>
          </c:marker>
          <c:xVal>
            <c:numRef>
              <c:f>RLC谐振电路!$B$4:$B$25</c:f>
              <c:numCache>
                <c:formatCode>General</c:formatCode>
                <c:ptCount val="22"/>
              </c:numCache>
            </c:numRef>
          </c:xVal>
          <c:yVal>
            <c:numRef>
              <c:f>RLC谐振电路!$J$4:$J$25</c:f>
              <c:numCache>
                <c:formatCode>0.0000_ </c:formatCode>
                <c:ptCount val="22"/>
                <c:pt idx="0">
                  <c:v>15.36543035518368</c:v>
                </c:pt>
                <c:pt idx="1">
                  <c:v>15.36543035518368</c:v>
                </c:pt>
                <c:pt idx="2">
                  <c:v>15.36543035518368</c:v>
                </c:pt>
                <c:pt idx="3">
                  <c:v>15.36543035518368</c:v>
                </c:pt>
                <c:pt idx="4">
                  <c:v>15.36543035518368</c:v>
                </c:pt>
                <c:pt idx="5">
                  <c:v>15.36543035518368</c:v>
                </c:pt>
                <c:pt idx="6">
                  <c:v>15.36543035518368</c:v>
                </c:pt>
                <c:pt idx="7">
                  <c:v>15.36543035518368</c:v>
                </c:pt>
                <c:pt idx="8">
                  <c:v>15.36543035518368</c:v>
                </c:pt>
                <c:pt idx="9">
                  <c:v>15.36543035518368</c:v>
                </c:pt>
                <c:pt idx="10">
                  <c:v>15.36543035518368</c:v>
                </c:pt>
                <c:pt idx="11">
                  <c:v>15.36543035518368</c:v>
                </c:pt>
                <c:pt idx="12">
                  <c:v>15.36543035518368</c:v>
                </c:pt>
                <c:pt idx="13">
                  <c:v>15.36543035518368</c:v>
                </c:pt>
                <c:pt idx="14">
                  <c:v>15.36543035518368</c:v>
                </c:pt>
                <c:pt idx="15">
                  <c:v>15.36543035518368</c:v>
                </c:pt>
                <c:pt idx="16">
                  <c:v>15.36543035518368</c:v>
                </c:pt>
                <c:pt idx="17">
                  <c:v>15.36543035518368</c:v>
                </c:pt>
                <c:pt idx="18">
                  <c:v>15.36543035518368</c:v>
                </c:pt>
                <c:pt idx="19">
                  <c:v>15.36543035518368</c:v>
                </c:pt>
                <c:pt idx="20">
                  <c:v>15.36543035518368</c:v>
                </c:pt>
                <c:pt idx="21">
                  <c:v>15.36543035518368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B83B-48C5-8211-B3D2809BE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324512"/>
        <c:axId val="-2103618544"/>
      </c:scatterChart>
      <c:valAx>
        <c:axId val="-2106324512"/>
        <c:scaling>
          <c:orientation val="minMax"/>
          <c:max val="3200.0"/>
          <c:min val="1600.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 sz="1200"/>
                  <a:t>f/Hz</a:t>
                </a:r>
              </a:p>
            </c:rich>
          </c:tx>
          <c:layout>
            <c:manualLayout>
              <c:xMode val="edge"/>
              <c:yMode val="edge"/>
              <c:x val="0.944989567854904"/>
              <c:y val="0.9316212497838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-2103618544"/>
        <c:crosses val="autoZero"/>
        <c:crossBetween val="midCat"/>
      </c:valAx>
      <c:valAx>
        <c:axId val="-2103618544"/>
        <c:scaling>
          <c:orientation val="minMax"/>
          <c:max val="22.0"/>
          <c:min val="2.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ea"/>
                    <a:ea typeface="+mn-ea"/>
                    <a:cs typeface="+mn-cs"/>
                  </a:defRPr>
                </a:pPr>
                <a:r>
                  <a:rPr lang="en-US" sz="1200"/>
                  <a:t>i/mA</a:t>
                </a:r>
              </a:p>
            </c:rich>
          </c:tx>
          <c:layout>
            <c:manualLayout>
              <c:xMode val="edge"/>
              <c:yMode val="edge"/>
              <c:x val="0.0538534783232568"/>
              <c:y val="0.04487994188371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ea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ea"/>
                <a:ea typeface="+mn-ea"/>
                <a:cs typeface="+mn-cs"/>
              </a:defRPr>
            </a:pPr>
            <a:endParaRPr lang="en-US"/>
          </a:p>
        </c:txPr>
        <c:crossAx val="-2106324512"/>
        <c:crosses val="autoZero"/>
        <c:crossBetween val="midCat"/>
        <c:majorUnit val="4.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  <a:latin typeface="+mn-ea"/>
          <a:ea typeface="+mn-e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649431</xdr:colOff>
      <xdr:row>22</xdr:row>
      <xdr:rowOff>61554</xdr:rowOff>
    </xdr:from>
    <xdr:to>
      <xdr:col>29</xdr:col>
      <xdr:colOff>-1</xdr:colOff>
      <xdr:row>43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ABEE8C34-807F-4FE3-8991-A341340DA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0</xdr:colOff>
      <xdr:row>15</xdr:row>
      <xdr:rowOff>174373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F24BCAB4-A8B7-40B9-BF16-D33395E50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23</xdr:row>
      <xdr:rowOff>0</xdr:rowOff>
    </xdr:from>
    <xdr:to>
      <xdr:col>18</xdr:col>
      <xdr:colOff>-1</xdr:colOff>
      <xdr:row>44</xdr:row>
      <xdr:rowOff>0</xdr:rowOff>
    </xdr:to>
    <xdr:graphicFrame macro="">
      <xdr:nvGraphicFramePr>
        <xdr:cNvPr id="5" name="图表 4">
          <a:extLst>
            <a:ext uri="{FF2B5EF4-FFF2-40B4-BE49-F238E27FC236}">
              <a16:creationId xmlns="" xmlns:a16="http://schemas.microsoft.com/office/drawing/2014/main" id="{46C8ACC6-C38C-4C0B-A363-4F84EDAC86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17</xdr:row>
      <xdr:rowOff>-1</xdr:rowOff>
    </xdr:from>
    <xdr:to>
      <xdr:col>16</xdr:col>
      <xdr:colOff>0</xdr:colOff>
      <xdr:row>73</xdr:row>
      <xdr:rowOff>176892</xdr:rowOff>
    </xdr:to>
    <xdr:graphicFrame macro="">
      <xdr:nvGraphicFramePr>
        <xdr:cNvPr id="6" name="图表 5">
          <a:extLst>
            <a:ext uri="{FF2B5EF4-FFF2-40B4-BE49-F238E27FC236}">
              <a16:creationId xmlns="" xmlns:a16="http://schemas.microsoft.com/office/drawing/2014/main" id="{35CD8A50-8245-4D93-BC14-692A51C32E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649940</xdr:colOff>
      <xdr:row>6</xdr:row>
      <xdr:rowOff>0</xdr:rowOff>
    </xdr:from>
    <xdr:to>
      <xdr:col>13</xdr:col>
      <xdr:colOff>392204</xdr:colOff>
      <xdr:row>23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25</xdr:row>
      <xdr:rowOff>0</xdr:rowOff>
    </xdr:from>
    <xdr:to>
      <xdr:col>14</xdr:col>
      <xdr:colOff>0</xdr:colOff>
      <xdr:row>42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14</xdr:row>
      <xdr:rowOff>163286</xdr:rowOff>
    </xdr:from>
    <xdr:to>
      <xdr:col>16</xdr:col>
      <xdr:colOff>0</xdr:colOff>
      <xdr:row>28</xdr:row>
      <xdr:rowOff>163286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6D19B8CC-CAF6-43A5-9C3A-A111B5CB1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7</xdr:col>
      <xdr:colOff>1</xdr:colOff>
      <xdr:row>33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FB240777-EFFB-47E5-B8AB-DE0599088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</xdr:row>
      <xdr:rowOff>0</xdr:rowOff>
    </xdr:from>
    <xdr:to>
      <xdr:col>26</xdr:col>
      <xdr:colOff>0</xdr:colOff>
      <xdr:row>29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6AEE4064-9CA1-4052-996B-2623065DDA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29</xdr:row>
      <xdr:rowOff>0</xdr:rowOff>
    </xdr:from>
    <xdr:to>
      <xdr:col>22</xdr:col>
      <xdr:colOff>1</xdr:colOff>
      <xdr:row>45</xdr:row>
      <xdr:rowOff>3711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DCE15397-F1ED-45C9-8FF4-2D8EA3422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97366</xdr:colOff>
      <xdr:row>32</xdr:row>
      <xdr:rowOff>125940</xdr:rowOff>
    </xdr:from>
    <xdr:to>
      <xdr:col>19</xdr:col>
      <xdr:colOff>563737</xdr:colOff>
      <xdr:row>44</xdr:row>
      <xdr:rowOff>113242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882072BA-8642-454F-A55A-ED77A11C2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18</xdr:col>
      <xdr:colOff>231777</xdr:colOff>
      <xdr:row>13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908D9E50-8A9B-4C06-9A45-2A8E495A8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13</xdr:row>
      <xdr:rowOff>22578</xdr:rowOff>
    </xdr:from>
    <xdr:to>
      <xdr:col>18</xdr:col>
      <xdr:colOff>231777</xdr:colOff>
      <xdr:row>25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D16300CC-4F76-42B6-B2AC-D146264BB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27</xdr:col>
      <xdr:colOff>0</xdr:colOff>
      <xdr:row>41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6BF9CC22-8A5F-4B67-BB2B-FBD7F513F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Relationship Id="rId2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Relationship Id="rId2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Relationship Id="rId2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T32"/>
  <sheetViews>
    <sheetView topLeftCell="A3" zoomScaleNormal="70" zoomScalePageLayoutView="70" workbookViewId="0">
      <selection activeCell="T37" sqref="T37"/>
    </sheetView>
  </sheetViews>
  <sheetFormatPr baseColWidth="10" defaultColWidth="8.83203125" defaultRowHeight="15" x14ac:dyDescent="0.2"/>
  <cols>
    <col min="1" max="1" width="9" style="120" customWidth="1"/>
    <col min="2" max="3" width="10.33203125" style="120" customWidth="1"/>
    <col min="4" max="5" width="12.5" style="120" customWidth="1"/>
    <col min="6" max="6" width="12" style="120" customWidth="1"/>
    <col min="7" max="7" width="8.83203125" style="120"/>
    <col min="8" max="9" width="9.33203125" style="120" customWidth="1"/>
    <col min="10" max="12" width="9.6640625" style="120" customWidth="1"/>
    <col min="13" max="13" width="13" style="120" customWidth="1"/>
    <col min="14" max="15" width="14.1640625" style="120" customWidth="1"/>
    <col min="16" max="16" width="9.6640625" style="121" customWidth="1"/>
    <col min="17" max="17" width="9.33203125" style="120" customWidth="1"/>
    <col min="18" max="18" width="12.6640625" style="120" customWidth="1"/>
    <col min="19" max="19" width="13" style="120" customWidth="1"/>
    <col min="20" max="20" width="50.33203125" style="120" customWidth="1"/>
    <col min="21" max="16384" width="8.83203125" style="120"/>
  </cols>
  <sheetData>
    <row r="1" spans="1:20" x14ac:dyDescent="0.2">
      <c r="A1" s="141" t="s">
        <v>332</v>
      </c>
      <c r="B1" s="141"/>
      <c r="C1" s="141"/>
      <c r="D1" s="141"/>
      <c r="E1" s="139"/>
    </row>
    <row r="2" spans="1:20" x14ac:dyDescent="0.2">
      <c r="A2" s="120" t="s">
        <v>310</v>
      </c>
      <c r="B2" s="120" t="s">
        <v>331</v>
      </c>
      <c r="C2" s="120" t="s">
        <v>330</v>
      </c>
      <c r="D2" s="120" t="s">
        <v>329</v>
      </c>
      <c r="H2" s="132" t="s">
        <v>304</v>
      </c>
      <c r="I2" s="132" t="s">
        <v>328</v>
      </c>
      <c r="J2" s="132" t="s">
        <v>302</v>
      </c>
      <c r="K2" s="131" t="s">
        <v>327</v>
      </c>
      <c r="L2" s="131" t="s">
        <v>326</v>
      </c>
      <c r="M2" s="131" t="s">
        <v>317</v>
      </c>
      <c r="N2" s="145" t="s">
        <v>301</v>
      </c>
      <c r="O2" s="145"/>
      <c r="P2" s="145"/>
      <c r="R2" s="123" t="s">
        <v>325</v>
      </c>
      <c r="S2" s="123" t="s">
        <v>324</v>
      </c>
    </row>
    <row r="3" spans="1:20" x14ac:dyDescent="0.2">
      <c r="A3" s="120">
        <v>1</v>
      </c>
      <c r="B3" s="137"/>
      <c r="C3" s="137"/>
      <c r="D3" s="137"/>
      <c r="E3" s="136"/>
      <c r="H3" s="143">
        <v>0.02</v>
      </c>
      <c r="I3" s="143">
        <f>$H$3/SQRT(3)</f>
        <v>1.1547005383792516E-2</v>
      </c>
      <c r="J3" s="143">
        <v>1.06</v>
      </c>
      <c r="K3" s="142" t="e">
        <f>SQRT(($J$3*N14)^2+$I$3^2)</f>
        <v>#VALUE!</v>
      </c>
      <c r="L3" s="142" t="e">
        <f>SQRT(($J$3*O14)^2+$I$3^2)</f>
        <v>#VALUE!</v>
      </c>
      <c r="M3" s="142" t="e">
        <f>SQRT(($J$3*P14)^2+$I$3^2)</f>
        <v>#VALUE!</v>
      </c>
      <c r="N3" s="129" t="e">
        <f t="shared" ref="N3:N12" si="0">(B3-B$15)^2</f>
        <v>#VALUE!</v>
      </c>
      <c r="O3" s="129" t="e">
        <f t="shared" ref="O3:O12" si="1">(C3-C$15)^2</f>
        <v>#VALUE!</v>
      </c>
      <c r="P3" s="129" t="e">
        <f t="shared" ref="P3:P12" si="2">(D3-D$15)^2</f>
        <v>#VALUE!</v>
      </c>
      <c r="R3" s="123" t="e">
        <f>(PI()/4)*$D$15*($B$15^2-$C$15^2)</f>
        <v>#VALUE!</v>
      </c>
      <c r="S3" s="123" t="e">
        <f>SQRT((($B$15^2-$C$15^2)^2)*$M$14^2+((2*$D$15*$B$15)^2)*$K$14^2+((-2*$D$15*$C$15)^2)*$L$14^2)</f>
        <v>#VALUE!</v>
      </c>
    </row>
    <row r="4" spans="1:20" x14ac:dyDescent="0.2">
      <c r="A4" s="120">
        <v>2</v>
      </c>
      <c r="B4" s="137"/>
      <c r="C4" s="137"/>
      <c r="D4" s="137"/>
      <c r="E4" s="136"/>
      <c r="H4" s="143"/>
      <c r="I4" s="143"/>
      <c r="J4" s="143"/>
      <c r="K4" s="142"/>
      <c r="L4" s="142"/>
      <c r="M4" s="142"/>
      <c r="N4" s="129" t="e">
        <f t="shared" si="0"/>
        <v>#VALUE!</v>
      </c>
      <c r="O4" s="129" t="e">
        <f t="shared" si="1"/>
        <v>#VALUE!</v>
      </c>
      <c r="P4" s="129" t="e">
        <f t="shared" si="2"/>
        <v>#VALUE!</v>
      </c>
      <c r="R4" s="141" t="s">
        <v>323</v>
      </c>
      <c r="S4" s="141"/>
    </row>
    <row r="5" spans="1:20" x14ac:dyDescent="0.2">
      <c r="A5" s="120">
        <v>3</v>
      </c>
      <c r="B5" s="137"/>
      <c r="C5" s="137"/>
      <c r="D5" s="137"/>
      <c r="E5" s="136"/>
      <c r="H5" s="143"/>
      <c r="I5" s="143"/>
      <c r="J5" s="143"/>
      <c r="K5" s="142"/>
      <c r="L5" s="142"/>
      <c r="M5" s="142"/>
      <c r="N5" s="129" t="e">
        <f t="shared" si="0"/>
        <v>#VALUE!</v>
      </c>
      <c r="O5" s="129" t="e">
        <f t="shared" si="1"/>
        <v>#VALUE!</v>
      </c>
      <c r="P5" s="129" t="e">
        <f t="shared" si="2"/>
        <v>#VALUE!</v>
      </c>
      <c r="R5" s="120" t="e">
        <f>TranValue(R3,2)</f>
        <v>#VALUE!</v>
      </c>
      <c r="S5" s="120" t="e">
        <f>S3</f>
        <v>#VALUE!</v>
      </c>
    </row>
    <row r="6" spans="1:20" x14ac:dyDescent="0.2">
      <c r="A6" s="120">
        <v>4</v>
      </c>
      <c r="B6" s="137"/>
      <c r="C6" s="137"/>
      <c r="D6" s="137"/>
      <c r="E6" s="136"/>
      <c r="H6" s="143"/>
      <c r="I6" s="143"/>
      <c r="J6" s="143"/>
      <c r="K6" s="142"/>
      <c r="L6" s="142"/>
      <c r="M6" s="142"/>
      <c r="N6" s="129" t="e">
        <f t="shared" si="0"/>
        <v>#VALUE!</v>
      </c>
      <c r="O6" s="129" t="e">
        <f t="shared" si="1"/>
        <v>#VALUE!</v>
      </c>
      <c r="P6" s="129" t="e">
        <f t="shared" si="2"/>
        <v>#VALUE!</v>
      </c>
      <c r="R6" s="144" t="s">
        <v>322</v>
      </c>
      <c r="S6" s="144"/>
      <c r="T6" s="146" t="s">
        <v>321</v>
      </c>
    </row>
    <row r="7" spans="1:20" x14ac:dyDescent="0.2">
      <c r="A7" s="120">
        <v>5</v>
      </c>
      <c r="B7" s="137"/>
      <c r="C7" s="137"/>
      <c r="D7" s="137"/>
      <c r="E7" s="136"/>
      <c r="H7" s="143"/>
      <c r="I7" s="143"/>
      <c r="J7" s="143"/>
      <c r="K7" s="142"/>
      <c r="L7" s="142"/>
      <c r="M7" s="142"/>
      <c r="N7" s="129" t="e">
        <f t="shared" si="0"/>
        <v>#VALUE!</v>
      </c>
      <c r="O7" s="129" t="e">
        <f t="shared" si="1"/>
        <v>#VALUE!</v>
      </c>
      <c r="P7" s="129" t="e">
        <f t="shared" si="2"/>
        <v>#VALUE!</v>
      </c>
      <c r="R7" s="138" t="e">
        <f>TranValue(R5,2)</f>
        <v>#VALUE!</v>
      </c>
      <c r="S7" s="123" t="e">
        <f>S3</f>
        <v>#VALUE!</v>
      </c>
      <c r="T7" s="146"/>
    </row>
    <row r="8" spans="1:20" x14ac:dyDescent="0.2">
      <c r="A8" s="120">
        <v>6</v>
      </c>
      <c r="B8" s="137"/>
      <c r="C8" s="137"/>
      <c r="D8" s="137"/>
      <c r="E8" s="136"/>
      <c r="H8" s="143"/>
      <c r="I8" s="143"/>
      <c r="J8" s="143"/>
      <c r="K8" s="142"/>
      <c r="L8" s="142"/>
      <c r="M8" s="142"/>
      <c r="N8" s="129" t="e">
        <f t="shared" si="0"/>
        <v>#VALUE!</v>
      </c>
      <c r="O8" s="129" t="e">
        <f t="shared" si="1"/>
        <v>#VALUE!</v>
      </c>
      <c r="P8" s="129" t="e">
        <f t="shared" si="2"/>
        <v>#VALUE!</v>
      </c>
    </row>
    <row r="9" spans="1:20" x14ac:dyDescent="0.2">
      <c r="A9" s="120">
        <v>7</v>
      </c>
      <c r="B9" s="137"/>
      <c r="C9" s="137"/>
      <c r="D9" s="137"/>
      <c r="E9" s="136"/>
      <c r="H9" s="143"/>
      <c r="I9" s="143"/>
      <c r="J9" s="143"/>
      <c r="K9" s="142"/>
      <c r="L9" s="142"/>
      <c r="M9" s="142"/>
      <c r="N9" s="129" t="e">
        <f t="shared" si="0"/>
        <v>#VALUE!</v>
      </c>
      <c r="O9" s="129" t="e">
        <f t="shared" si="1"/>
        <v>#VALUE!</v>
      </c>
      <c r="P9" s="129" t="e">
        <f t="shared" si="2"/>
        <v>#VALUE!</v>
      </c>
      <c r="R9" s="144" t="s">
        <v>320</v>
      </c>
      <c r="S9" s="144"/>
    </row>
    <row r="10" spans="1:20" x14ac:dyDescent="0.2">
      <c r="A10" s="120">
        <v>8</v>
      </c>
      <c r="B10" s="137"/>
      <c r="C10" s="137"/>
      <c r="D10" s="137"/>
      <c r="E10" s="136"/>
      <c r="H10" s="143"/>
      <c r="I10" s="143"/>
      <c r="J10" s="143"/>
      <c r="K10" s="142"/>
      <c r="L10" s="142"/>
      <c r="M10" s="142"/>
      <c r="N10" s="129" t="e">
        <f t="shared" si="0"/>
        <v>#VALUE!</v>
      </c>
      <c r="O10" s="129" t="e">
        <f t="shared" si="1"/>
        <v>#VALUE!</v>
      </c>
      <c r="P10" s="129" t="e">
        <f t="shared" si="2"/>
        <v>#VALUE!</v>
      </c>
      <c r="R10" s="144">
        <v>0.68300000000000005</v>
      </c>
      <c r="S10" s="144"/>
    </row>
    <row r="11" spans="1:20" x14ac:dyDescent="0.2">
      <c r="A11" s="120">
        <v>9</v>
      </c>
      <c r="B11" s="137"/>
      <c r="C11" s="137"/>
      <c r="D11" s="137"/>
      <c r="E11" s="136"/>
      <c r="H11" s="143"/>
      <c r="I11" s="143"/>
      <c r="J11" s="143"/>
      <c r="K11" s="142"/>
      <c r="L11" s="142"/>
      <c r="M11" s="142"/>
      <c r="N11" s="129" t="e">
        <f t="shared" si="0"/>
        <v>#VALUE!</v>
      </c>
      <c r="O11" s="129" t="e">
        <f t="shared" si="1"/>
        <v>#VALUE!</v>
      </c>
      <c r="P11" s="129" t="e">
        <f t="shared" si="2"/>
        <v>#VALUE!</v>
      </c>
    </row>
    <row r="12" spans="1:20" x14ac:dyDescent="0.2">
      <c r="A12" s="120">
        <v>10</v>
      </c>
      <c r="B12" s="137"/>
      <c r="C12" s="137"/>
      <c r="D12" s="137"/>
      <c r="E12" s="136"/>
      <c r="H12" s="143"/>
      <c r="I12" s="143"/>
      <c r="J12" s="143"/>
      <c r="K12" s="142"/>
      <c r="L12" s="142"/>
      <c r="M12" s="142"/>
      <c r="N12" s="129" t="e">
        <f t="shared" si="0"/>
        <v>#VALUE!</v>
      </c>
      <c r="O12" s="129" t="e">
        <f t="shared" si="1"/>
        <v>#VALUE!</v>
      </c>
      <c r="P12" s="129" t="e">
        <f t="shared" si="2"/>
        <v>#VALUE!</v>
      </c>
      <c r="S12" s="128" t="e">
        <f>$S$7/$R$7</f>
        <v>#VALUE!</v>
      </c>
    </row>
    <row r="13" spans="1:20" x14ac:dyDescent="0.2">
      <c r="A13" s="120" t="s">
        <v>300</v>
      </c>
      <c r="B13" s="135" t="e">
        <f>AVERAGE(B3:B12)</f>
        <v>#DIV/0!</v>
      </c>
      <c r="C13" s="135" t="e">
        <f>AVERAGE(C3:C12)</f>
        <v>#DIV/0!</v>
      </c>
      <c r="D13" s="135" t="e">
        <f>AVERAGE(D3:D12)</f>
        <v>#DIV/0!</v>
      </c>
      <c r="E13" s="121"/>
      <c r="H13" s="148"/>
      <c r="I13" s="148"/>
      <c r="J13" s="148"/>
      <c r="K13" s="123" t="s">
        <v>319</v>
      </c>
      <c r="L13" s="123" t="s">
        <v>318</v>
      </c>
      <c r="M13" s="123" t="s">
        <v>317</v>
      </c>
      <c r="N13" s="144" t="s">
        <v>316</v>
      </c>
      <c r="O13" s="144"/>
      <c r="P13" s="144"/>
    </row>
    <row r="14" spans="1:20" x14ac:dyDescent="0.2">
      <c r="E14" s="121"/>
      <c r="H14" s="143" t="s">
        <v>315</v>
      </c>
      <c r="I14" s="143"/>
      <c r="J14" s="143"/>
      <c r="K14" s="134" t="e">
        <f>ROUNDUP(K3,2)</f>
        <v>#VALUE!</v>
      </c>
      <c r="L14" s="134" t="e">
        <f>ROUNDUP(L3,2)</f>
        <v>#VALUE!</v>
      </c>
      <c r="M14" s="134" t="e">
        <f>ROUNDUP(M3,2)</f>
        <v>#VALUE!</v>
      </c>
      <c r="N14" s="127" t="e">
        <f>SQRT(SUM(N3:N12)/($A$12*$A$11))</f>
        <v>#VALUE!</v>
      </c>
      <c r="O14" s="127" t="e">
        <f>SQRT(SUM(O3:O12)/($A$12*$A$11))</f>
        <v>#VALUE!</v>
      </c>
      <c r="P14" s="127" t="e">
        <f>SQRT(SUM(P3:P12)/($A$12*$A$11))</f>
        <v>#VALUE!</v>
      </c>
    </row>
    <row r="15" spans="1:20" x14ac:dyDescent="0.2">
      <c r="A15" s="123" t="s">
        <v>296</v>
      </c>
      <c r="B15" s="133" t="e">
        <f>TranValue(B13,2)</f>
        <v>#VALUE!</v>
      </c>
      <c r="C15" s="133" t="e">
        <f>TranValue(C13,2)</f>
        <v>#VALUE!</v>
      </c>
      <c r="D15" s="133" t="e">
        <f>TranValue(D13,2)</f>
        <v>#VALUE!</v>
      </c>
      <c r="E15" s="121"/>
      <c r="F15" s="121"/>
      <c r="G15" s="121"/>
      <c r="H15" s="143"/>
      <c r="I15" s="143"/>
      <c r="J15" s="143"/>
      <c r="K15" s="123" t="s">
        <v>314</v>
      </c>
      <c r="L15" s="123" t="s">
        <v>313</v>
      </c>
      <c r="M15" s="123" t="s">
        <v>312</v>
      </c>
    </row>
    <row r="16" spans="1:20" x14ac:dyDescent="0.2">
      <c r="H16" s="143"/>
      <c r="I16" s="143"/>
      <c r="J16" s="143"/>
      <c r="K16" s="122" t="e">
        <f>K$14/B$15</f>
        <v>#VALUE!</v>
      </c>
      <c r="L16" s="122" t="e">
        <f>L$14/C$15</f>
        <v>#VALUE!</v>
      </c>
      <c r="M16" s="122" t="e">
        <f>M$14/D$15</f>
        <v>#VALUE!</v>
      </c>
    </row>
    <row r="17" spans="1:15" x14ac:dyDescent="0.2">
      <c r="A17" s="141" t="s">
        <v>311</v>
      </c>
      <c r="B17" s="141"/>
      <c r="C17" s="141"/>
      <c r="D17" s="141"/>
      <c r="E17" s="141"/>
      <c r="F17" s="141"/>
      <c r="H17" s="147"/>
      <c r="I17" s="147"/>
      <c r="J17" s="147"/>
    </row>
    <row r="18" spans="1:15" x14ac:dyDescent="0.2">
      <c r="A18" s="120" t="s">
        <v>310</v>
      </c>
      <c r="B18" s="120" t="s">
        <v>309</v>
      </c>
      <c r="C18" s="120" t="s">
        <v>308</v>
      </c>
      <c r="D18" s="120" t="s">
        <v>307</v>
      </c>
      <c r="E18" s="120" t="s">
        <v>306</v>
      </c>
      <c r="F18" s="120" t="s">
        <v>305</v>
      </c>
      <c r="H18" s="132" t="s">
        <v>304</v>
      </c>
      <c r="I18" s="132" t="s">
        <v>303</v>
      </c>
      <c r="J18" s="132" t="s">
        <v>302</v>
      </c>
      <c r="K18" s="131" t="s">
        <v>299</v>
      </c>
      <c r="L18" s="131" t="s">
        <v>298</v>
      </c>
      <c r="N18" s="145" t="s">
        <v>301</v>
      </c>
      <c r="O18" s="145"/>
    </row>
    <row r="19" spans="1:15" x14ac:dyDescent="0.2">
      <c r="A19" s="120">
        <v>1</v>
      </c>
      <c r="B19" s="130"/>
      <c r="C19" s="130"/>
      <c r="D19" s="126">
        <f t="shared" ref="D19:D28" si="3">B19-$F$19</f>
        <v>0</v>
      </c>
      <c r="E19" s="126">
        <f t="shared" ref="E19:E28" si="4">C19-$F$19</f>
        <v>0</v>
      </c>
      <c r="F19" s="140"/>
      <c r="H19" s="143">
        <v>4.0000000000000001E-3</v>
      </c>
      <c r="I19" s="143">
        <f>$H$19/SQRT(3)</f>
        <v>2.3094010767585032E-3</v>
      </c>
      <c r="J19" s="143">
        <v>1.06</v>
      </c>
      <c r="K19" s="142">
        <f>SQRT(($J$19*N30)^2+$I$19^2)</f>
        <v>2.3094010767585032E-3</v>
      </c>
      <c r="L19" s="142">
        <f>SQRT(($J$19*O30)^2+$I$19^2)</f>
        <v>2.3094010767585032E-3</v>
      </c>
      <c r="N19" s="129">
        <f t="shared" ref="N19:N28" si="5">(D19-D$31)^2</f>
        <v>0</v>
      </c>
      <c r="O19" s="129">
        <f t="shared" ref="O19:O28" si="6">(E19-E$31)^2</f>
        <v>0</v>
      </c>
    </row>
    <row r="20" spans="1:15" x14ac:dyDescent="0.2">
      <c r="A20" s="120">
        <v>2</v>
      </c>
      <c r="B20" s="130"/>
      <c r="C20" s="130"/>
      <c r="D20" s="126">
        <f t="shared" si="3"/>
        <v>0</v>
      </c>
      <c r="E20" s="126">
        <f t="shared" si="4"/>
        <v>0</v>
      </c>
      <c r="F20" s="140"/>
      <c r="H20" s="143"/>
      <c r="I20" s="143"/>
      <c r="J20" s="143"/>
      <c r="K20" s="142"/>
      <c r="L20" s="142"/>
      <c r="N20" s="129">
        <f t="shared" si="5"/>
        <v>0</v>
      </c>
      <c r="O20" s="129">
        <f t="shared" si="6"/>
        <v>0</v>
      </c>
    </row>
    <row r="21" spans="1:15" x14ac:dyDescent="0.2">
      <c r="A21" s="120">
        <v>3</v>
      </c>
      <c r="B21" s="130"/>
      <c r="C21" s="130"/>
      <c r="D21" s="126">
        <f t="shared" si="3"/>
        <v>0</v>
      </c>
      <c r="E21" s="126">
        <f t="shared" si="4"/>
        <v>0</v>
      </c>
      <c r="F21" s="140"/>
      <c r="H21" s="143"/>
      <c r="I21" s="143"/>
      <c r="J21" s="143"/>
      <c r="K21" s="142"/>
      <c r="L21" s="142"/>
      <c r="N21" s="129">
        <f t="shared" si="5"/>
        <v>0</v>
      </c>
      <c r="O21" s="129">
        <f t="shared" si="6"/>
        <v>0</v>
      </c>
    </row>
    <row r="22" spans="1:15" x14ac:dyDescent="0.2">
      <c r="A22" s="120">
        <v>4</v>
      </c>
      <c r="B22" s="130"/>
      <c r="C22" s="130"/>
      <c r="D22" s="126">
        <f t="shared" si="3"/>
        <v>0</v>
      </c>
      <c r="E22" s="126">
        <f t="shared" si="4"/>
        <v>0</v>
      </c>
      <c r="F22" s="140"/>
      <c r="H22" s="143"/>
      <c r="I22" s="143"/>
      <c r="J22" s="143"/>
      <c r="K22" s="142"/>
      <c r="L22" s="142"/>
      <c r="N22" s="129">
        <f t="shared" si="5"/>
        <v>0</v>
      </c>
      <c r="O22" s="129">
        <f t="shared" si="6"/>
        <v>0</v>
      </c>
    </row>
    <row r="23" spans="1:15" x14ac:dyDescent="0.2">
      <c r="A23" s="120">
        <v>5</v>
      </c>
      <c r="B23" s="130"/>
      <c r="C23" s="130"/>
      <c r="D23" s="126">
        <f t="shared" si="3"/>
        <v>0</v>
      </c>
      <c r="E23" s="126">
        <f t="shared" si="4"/>
        <v>0</v>
      </c>
      <c r="F23" s="140"/>
      <c r="H23" s="143"/>
      <c r="I23" s="143"/>
      <c r="J23" s="143"/>
      <c r="K23" s="142"/>
      <c r="L23" s="142"/>
      <c r="N23" s="129">
        <f t="shared" si="5"/>
        <v>0</v>
      </c>
      <c r="O23" s="129">
        <f t="shared" si="6"/>
        <v>0</v>
      </c>
    </row>
    <row r="24" spans="1:15" x14ac:dyDescent="0.2">
      <c r="A24" s="120">
        <v>6</v>
      </c>
      <c r="B24" s="130"/>
      <c r="C24" s="130"/>
      <c r="D24" s="126">
        <f t="shared" si="3"/>
        <v>0</v>
      </c>
      <c r="E24" s="126">
        <f t="shared" si="4"/>
        <v>0</v>
      </c>
      <c r="F24" s="140"/>
      <c r="H24" s="143"/>
      <c r="I24" s="143"/>
      <c r="J24" s="143"/>
      <c r="K24" s="142"/>
      <c r="L24" s="142"/>
      <c r="N24" s="129">
        <f t="shared" si="5"/>
        <v>0</v>
      </c>
      <c r="O24" s="129">
        <f t="shared" si="6"/>
        <v>0</v>
      </c>
    </row>
    <row r="25" spans="1:15" x14ac:dyDescent="0.2">
      <c r="A25" s="120">
        <v>7</v>
      </c>
      <c r="B25" s="130"/>
      <c r="C25" s="130"/>
      <c r="D25" s="126">
        <f t="shared" si="3"/>
        <v>0</v>
      </c>
      <c r="E25" s="126">
        <f t="shared" si="4"/>
        <v>0</v>
      </c>
      <c r="F25" s="140"/>
      <c r="H25" s="143"/>
      <c r="I25" s="143"/>
      <c r="J25" s="143"/>
      <c r="K25" s="142"/>
      <c r="L25" s="142"/>
      <c r="N25" s="129">
        <f t="shared" si="5"/>
        <v>0</v>
      </c>
      <c r="O25" s="129">
        <f t="shared" si="6"/>
        <v>0</v>
      </c>
    </row>
    <row r="26" spans="1:15" x14ac:dyDescent="0.2">
      <c r="A26" s="120">
        <v>8</v>
      </c>
      <c r="B26" s="130"/>
      <c r="C26" s="130"/>
      <c r="D26" s="126">
        <f t="shared" si="3"/>
        <v>0</v>
      </c>
      <c r="E26" s="126">
        <f t="shared" si="4"/>
        <v>0</v>
      </c>
      <c r="F26" s="140"/>
      <c r="H26" s="143"/>
      <c r="I26" s="143"/>
      <c r="J26" s="143"/>
      <c r="K26" s="142"/>
      <c r="L26" s="142"/>
      <c r="N26" s="129">
        <f t="shared" si="5"/>
        <v>0</v>
      </c>
      <c r="O26" s="129">
        <f t="shared" si="6"/>
        <v>0</v>
      </c>
    </row>
    <row r="27" spans="1:15" x14ac:dyDescent="0.2">
      <c r="A27" s="120">
        <v>9</v>
      </c>
      <c r="B27" s="130"/>
      <c r="C27" s="130"/>
      <c r="D27" s="126">
        <f t="shared" si="3"/>
        <v>0</v>
      </c>
      <c r="E27" s="126">
        <f t="shared" si="4"/>
        <v>0</v>
      </c>
      <c r="F27" s="140"/>
      <c r="H27" s="143"/>
      <c r="I27" s="143"/>
      <c r="J27" s="143"/>
      <c r="K27" s="142"/>
      <c r="L27" s="142"/>
      <c r="N27" s="129">
        <f t="shared" si="5"/>
        <v>0</v>
      </c>
      <c r="O27" s="129">
        <f t="shared" si="6"/>
        <v>0</v>
      </c>
    </row>
    <row r="28" spans="1:15" x14ac:dyDescent="0.2">
      <c r="A28" s="120">
        <v>10</v>
      </c>
      <c r="B28" s="130"/>
      <c r="C28" s="130"/>
      <c r="D28" s="126">
        <f t="shared" si="3"/>
        <v>0</v>
      </c>
      <c r="E28" s="126">
        <f t="shared" si="4"/>
        <v>0</v>
      </c>
      <c r="F28" s="140"/>
      <c r="H28" s="143"/>
      <c r="I28" s="143"/>
      <c r="J28" s="143"/>
      <c r="K28" s="142"/>
      <c r="L28" s="142"/>
      <c r="N28" s="129">
        <f t="shared" si="5"/>
        <v>0</v>
      </c>
      <c r="O28" s="129">
        <f t="shared" si="6"/>
        <v>0</v>
      </c>
    </row>
    <row r="29" spans="1:15" x14ac:dyDescent="0.2">
      <c r="A29" s="120" t="s">
        <v>300</v>
      </c>
      <c r="B29" s="128" t="e">
        <f>AVERAGE(B19:B28)</f>
        <v>#DIV/0!</v>
      </c>
      <c r="C29" s="128" t="e">
        <f>AVERAGE(C19:C28)</f>
        <v>#DIV/0!</v>
      </c>
      <c r="D29" s="128">
        <f>AVERAGE(D19:D28)</f>
        <v>0</v>
      </c>
      <c r="E29" s="128">
        <f>AVERAGE(E19:E28)</f>
        <v>0</v>
      </c>
      <c r="F29" s="124"/>
      <c r="G29" s="119"/>
      <c r="K29" s="123" t="s">
        <v>299</v>
      </c>
      <c r="L29" s="123" t="s">
        <v>298</v>
      </c>
      <c r="N29" s="144" t="s">
        <v>297</v>
      </c>
      <c r="O29" s="144"/>
    </row>
    <row r="30" spans="1:15" x14ac:dyDescent="0.2">
      <c r="B30" s="124"/>
      <c r="C30" s="124"/>
      <c r="D30" s="124"/>
      <c r="E30" s="124"/>
      <c r="F30" s="124"/>
      <c r="G30" s="124"/>
      <c r="K30" s="125">
        <f>ROUNDUP(K19,3)</f>
        <v>3.0000000000000001E-3</v>
      </c>
      <c r="L30" s="125">
        <f>ROUNDUP(L19,3)</f>
        <v>3.0000000000000001E-3</v>
      </c>
      <c r="N30" s="127">
        <f>SQRT(SUM(N19:N28)/($A$28*$A$27))</f>
        <v>0</v>
      </c>
      <c r="O30" s="127">
        <f>SQRT(SUM(O19:O28)/($A$28*$A$27))</f>
        <v>0</v>
      </c>
    </row>
    <row r="31" spans="1:15" x14ac:dyDescent="0.2">
      <c r="A31" s="123" t="s">
        <v>296</v>
      </c>
      <c r="B31" s="126"/>
      <c r="C31" s="126"/>
      <c r="D31" s="125">
        <f>TranValue(D29,3)</f>
        <v>0</v>
      </c>
      <c r="E31" s="125">
        <f>TranValue(E29,3)</f>
        <v>0</v>
      </c>
      <c r="F31" s="124"/>
      <c r="K31" s="123" t="s">
        <v>295</v>
      </c>
      <c r="L31" s="123" t="s">
        <v>294</v>
      </c>
    </row>
    <row r="32" spans="1:15" x14ac:dyDescent="0.2">
      <c r="K32" s="122" t="e">
        <f>K$30/D$31</f>
        <v>#DIV/0!</v>
      </c>
      <c r="L32" s="122" t="e">
        <f>L$30/E$31</f>
        <v>#DIV/0!</v>
      </c>
    </row>
  </sheetData>
  <sheetProtection formatCells="0" formatColumns="0" formatRows="0" insertColumns="0" insertRows="0" insertHyperlinks="0" deleteColumns="0" deleteRows="0" sort="0"/>
  <mergeCells count="26">
    <mergeCell ref="T6:T7"/>
    <mergeCell ref="H14:J16"/>
    <mergeCell ref="H17:J17"/>
    <mergeCell ref="H13:J13"/>
    <mergeCell ref="A1:D1"/>
    <mergeCell ref="I3:I12"/>
    <mergeCell ref="H3:H12"/>
    <mergeCell ref="L3:L12"/>
    <mergeCell ref="R6:S6"/>
    <mergeCell ref="R4:S4"/>
    <mergeCell ref="N29:O29"/>
    <mergeCell ref="R9:S9"/>
    <mergeCell ref="R10:S10"/>
    <mergeCell ref="N2:P2"/>
    <mergeCell ref="N18:O18"/>
    <mergeCell ref="N13:P13"/>
    <mergeCell ref="F19:F28"/>
    <mergeCell ref="A17:F17"/>
    <mergeCell ref="K19:K28"/>
    <mergeCell ref="M3:M12"/>
    <mergeCell ref="H19:H28"/>
    <mergeCell ref="I19:I28"/>
    <mergeCell ref="J3:J12"/>
    <mergeCell ref="J19:J28"/>
    <mergeCell ref="K3:K12"/>
    <mergeCell ref="L19:L2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49"/>
  <sheetViews>
    <sheetView zoomScale="75" zoomScaleNormal="75" zoomScalePageLayoutView="75" workbookViewId="0">
      <selection activeCell="I5" sqref="I5"/>
    </sheetView>
  </sheetViews>
  <sheetFormatPr baseColWidth="10" defaultColWidth="8.83203125" defaultRowHeight="15" x14ac:dyDescent="0.2"/>
  <cols>
    <col min="1" max="1" width="2.33203125" bestFit="1" customWidth="1"/>
    <col min="2" max="2" width="9" bestFit="1" customWidth="1"/>
    <col min="3" max="3" width="11" bestFit="1" customWidth="1"/>
    <col min="4" max="4" width="7.6640625" customWidth="1"/>
    <col min="5" max="8" width="7.6640625" bestFit="1" customWidth="1"/>
    <col min="9" max="9" width="8.5" bestFit="1" customWidth="1"/>
    <col min="10" max="10" width="7.6640625" bestFit="1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5</v>
      </c>
      <c r="F1" s="1" t="s">
        <v>4</v>
      </c>
      <c r="G1" s="1" t="s">
        <v>6</v>
      </c>
    </row>
    <row r="2" spans="1:7" x14ac:dyDescent="0.2">
      <c r="A2">
        <v>1</v>
      </c>
      <c r="B2" s="11"/>
      <c r="C2" s="12"/>
      <c r="D2" s="5">
        <f>B2-C2</f>
        <v>0</v>
      </c>
      <c r="E2" s="151">
        <f>AVERAGE(D2:D7)</f>
        <v>0</v>
      </c>
      <c r="F2" s="6">
        <f>D2-$E$2</f>
        <v>0</v>
      </c>
      <c r="G2">
        <f>ABS(F2)</f>
        <v>0</v>
      </c>
    </row>
    <row r="3" spans="1:7" x14ac:dyDescent="0.2">
      <c r="A3">
        <v>2</v>
      </c>
      <c r="B3" s="11"/>
      <c r="C3" s="12"/>
      <c r="D3" s="5">
        <f t="shared" ref="D3:D7" si="0">B3-C3</f>
        <v>0</v>
      </c>
      <c r="E3" s="151"/>
      <c r="F3" s="6">
        <f t="shared" ref="F3:F7" si="1">D3-$E$2</f>
        <v>0</v>
      </c>
      <c r="G3">
        <f t="shared" ref="G3:G7" si="2">ABS(F3)</f>
        <v>0</v>
      </c>
    </row>
    <row r="4" spans="1:7" x14ac:dyDescent="0.2">
      <c r="A4">
        <v>3</v>
      </c>
      <c r="B4" s="11"/>
      <c r="C4" s="12"/>
      <c r="D4" s="5">
        <f t="shared" si="0"/>
        <v>0</v>
      </c>
      <c r="E4" s="151"/>
      <c r="F4" s="6">
        <f t="shared" si="1"/>
        <v>0</v>
      </c>
      <c r="G4">
        <f t="shared" si="2"/>
        <v>0</v>
      </c>
    </row>
    <row r="5" spans="1:7" x14ac:dyDescent="0.2">
      <c r="A5">
        <v>4</v>
      </c>
      <c r="B5" s="11"/>
      <c r="C5" s="12"/>
      <c r="D5" s="5">
        <f t="shared" si="0"/>
        <v>0</v>
      </c>
      <c r="E5" s="151"/>
      <c r="F5" s="6">
        <f t="shared" si="1"/>
        <v>0</v>
      </c>
      <c r="G5">
        <f t="shared" si="2"/>
        <v>0</v>
      </c>
    </row>
    <row r="6" spans="1:7" x14ac:dyDescent="0.2">
      <c r="A6">
        <v>5</v>
      </c>
      <c r="B6" s="11"/>
      <c r="C6" s="12"/>
      <c r="D6" s="5">
        <f t="shared" si="0"/>
        <v>0</v>
      </c>
      <c r="E6" s="151"/>
      <c r="F6" s="6">
        <f t="shared" si="1"/>
        <v>0</v>
      </c>
      <c r="G6">
        <f t="shared" si="2"/>
        <v>0</v>
      </c>
    </row>
    <row r="7" spans="1:7" x14ac:dyDescent="0.2">
      <c r="A7">
        <v>6</v>
      </c>
      <c r="B7" s="11"/>
      <c r="C7" s="12"/>
      <c r="D7" s="5">
        <f t="shared" si="0"/>
        <v>0</v>
      </c>
      <c r="E7" s="151"/>
      <c r="F7" s="6">
        <f t="shared" si="1"/>
        <v>0</v>
      </c>
      <c r="G7">
        <f t="shared" si="2"/>
        <v>0</v>
      </c>
    </row>
    <row r="8" spans="1:7" x14ac:dyDescent="0.2">
      <c r="B8" s="6" t="e">
        <f t="shared" ref="B8" si="3">AVERAGE(B2:B7)</f>
        <v>#DIV/0!</v>
      </c>
      <c r="C8" s="6" t="e">
        <f t="shared" ref="C8" si="4">AVERAGE(C2:C7)</f>
        <v>#DIV/0!</v>
      </c>
      <c r="D8" s="6">
        <f t="shared" ref="D8" si="5">AVERAGE(D2:D7)</f>
        <v>0</v>
      </c>
      <c r="E8" s="153"/>
      <c r="F8" s="153"/>
      <c r="G8" s="6">
        <f>AVERAGE(G2:G7)</f>
        <v>0</v>
      </c>
    </row>
    <row r="9" spans="1:7" ht="16" x14ac:dyDescent="0.2">
      <c r="A9" s="150" t="s">
        <v>7</v>
      </c>
      <c r="B9" s="150"/>
      <c r="C9" s="150"/>
      <c r="D9" s="150"/>
      <c r="E9" s="150"/>
      <c r="F9" s="150"/>
      <c r="G9" s="150"/>
    </row>
    <row r="12" spans="1:7" x14ac:dyDescent="0.2">
      <c r="A12" t="s">
        <v>0</v>
      </c>
      <c r="B12" s="8" t="s">
        <v>8</v>
      </c>
      <c r="C12" s="8" t="s">
        <v>9</v>
      </c>
      <c r="E12" s="8" t="s">
        <v>8</v>
      </c>
      <c r="F12" s="8" t="s">
        <v>9</v>
      </c>
    </row>
    <row r="13" spans="1:7" x14ac:dyDescent="0.2">
      <c r="A13">
        <v>1</v>
      </c>
      <c r="B13" s="9"/>
      <c r="C13" s="9"/>
      <c r="E13" s="9"/>
      <c r="F13" s="9"/>
    </row>
    <row r="14" spans="1:7" x14ac:dyDescent="0.2">
      <c r="A14">
        <v>2</v>
      </c>
      <c r="B14" s="9"/>
      <c r="C14" s="9"/>
      <c r="E14" s="9"/>
      <c r="F14" s="9"/>
    </row>
    <row r="15" spans="1:7" x14ac:dyDescent="0.2">
      <c r="A15">
        <v>3</v>
      </c>
      <c r="B15" s="9"/>
      <c r="C15" s="9"/>
      <c r="E15" s="9"/>
      <c r="F15" s="9"/>
    </row>
    <row r="16" spans="1:7" x14ac:dyDescent="0.2">
      <c r="A16">
        <v>4</v>
      </c>
      <c r="B16" s="9"/>
      <c r="C16" s="9"/>
      <c r="E16" s="9"/>
      <c r="F16" s="9"/>
    </row>
    <row r="17" spans="1:10" x14ac:dyDescent="0.2">
      <c r="A17">
        <v>5</v>
      </c>
      <c r="B17" s="10"/>
      <c r="C17" s="10"/>
      <c r="E17" s="10"/>
      <c r="F17" s="10"/>
    </row>
    <row r="18" spans="1:10" x14ac:dyDescent="0.2">
      <c r="A18">
        <v>6</v>
      </c>
      <c r="B18" s="10"/>
      <c r="C18" s="10"/>
      <c r="E18" s="10"/>
      <c r="F18" s="10"/>
    </row>
    <row r="21" spans="1:10" x14ac:dyDescent="0.2">
      <c r="A21" t="s">
        <v>0</v>
      </c>
      <c r="B21" t="s">
        <v>10</v>
      </c>
      <c r="E21" t="s">
        <v>11</v>
      </c>
      <c r="G21" t="s">
        <v>12</v>
      </c>
      <c r="H21" t="s">
        <v>5</v>
      </c>
      <c r="I21" s="1" t="s">
        <v>13</v>
      </c>
      <c r="J21" s="1" t="s">
        <v>14</v>
      </c>
    </row>
    <row r="22" spans="1:10" x14ac:dyDescent="0.2">
      <c r="A22">
        <v>1</v>
      </c>
      <c r="B22" s="7">
        <f>ABS(B13-C13)</f>
        <v>0</v>
      </c>
      <c r="E22" s="7">
        <f t="shared" ref="E22:E27" si="6">ABS(E13-F13)</f>
        <v>0</v>
      </c>
      <c r="G22" s="4" t="e">
        <f>(B22^2-E22^2)/(4*B22)</f>
        <v>#DIV/0!</v>
      </c>
      <c r="H22" s="149" t="e">
        <f>AVERAGE(G22:G27)</f>
        <v>#DIV/0!</v>
      </c>
      <c r="I22" s="4" t="e">
        <f t="shared" ref="I22:I27" si="7">G22-$H$22</f>
        <v>#DIV/0!</v>
      </c>
      <c r="J22" t="e">
        <f t="shared" ref="J22:J27" si="8">ABS(I22)</f>
        <v>#DIV/0!</v>
      </c>
    </row>
    <row r="23" spans="1:10" x14ac:dyDescent="0.2">
      <c r="A23">
        <v>2</v>
      </c>
      <c r="B23" s="7">
        <f t="shared" ref="B23:B27" si="9">ABS(B14-C14)</f>
        <v>0</v>
      </c>
      <c r="E23" s="7">
        <f t="shared" si="6"/>
        <v>0</v>
      </c>
      <c r="G23" s="4" t="e">
        <f t="shared" ref="G23:G27" si="10">(B23^2-E23^2)/(4*B23)</f>
        <v>#DIV/0!</v>
      </c>
      <c r="H23" s="149"/>
      <c r="I23" s="4" t="e">
        <f t="shared" si="7"/>
        <v>#DIV/0!</v>
      </c>
      <c r="J23" t="e">
        <f t="shared" si="8"/>
        <v>#DIV/0!</v>
      </c>
    </row>
    <row r="24" spans="1:10" x14ac:dyDescent="0.2">
      <c r="A24">
        <v>3</v>
      </c>
      <c r="B24" s="7">
        <f t="shared" si="9"/>
        <v>0</v>
      </c>
      <c r="E24" s="7">
        <f t="shared" si="6"/>
        <v>0</v>
      </c>
      <c r="G24" s="4" t="e">
        <f t="shared" si="10"/>
        <v>#DIV/0!</v>
      </c>
      <c r="H24" s="149"/>
      <c r="I24" s="4" t="e">
        <f t="shared" si="7"/>
        <v>#DIV/0!</v>
      </c>
      <c r="J24" t="e">
        <f t="shared" si="8"/>
        <v>#DIV/0!</v>
      </c>
    </row>
    <row r="25" spans="1:10" x14ac:dyDescent="0.2">
      <c r="A25">
        <v>4</v>
      </c>
      <c r="B25" s="7">
        <f t="shared" si="9"/>
        <v>0</v>
      </c>
      <c r="E25" s="7">
        <f t="shared" si="6"/>
        <v>0</v>
      </c>
      <c r="G25" s="4" t="e">
        <f t="shared" si="10"/>
        <v>#DIV/0!</v>
      </c>
      <c r="H25" s="149"/>
      <c r="I25" s="4" t="e">
        <f t="shared" si="7"/>
        <v>#DIV/0!</v>
      </c>
      <c r="J25" t="e">
        <f t="shared" si="8"/>
        <v>#DIV/0!</v>
      </c>
    </row>
    <row r="26" spans="1:10" x14ac:dyDescent="0.2">
      <c r="A26">
        <v>5</v>
      </c>
      <c r="B26" s="7">
        <f t="shared" si="9"/>
        <v>0</v>
      </c>
      <c r="E26" s="7">
        <f t="shared" si="6"/>
        <v>0</v>
      </c>
      <c r="G26" s="4" t="e">
        <f t="shared" si="10"/>
        <v>#DIV/0!</v>
      </c>
      <c r="H26" s="149"/>
      <c r="I26" s="4" t="e">
        <f t="shared" si="7"/>
        <v>#DIV/0!</v>
      </c>
      <c r="J26" t="e">
        <f t="shared" si="8"/>
        <v>#DIV/0!</v>
      </c>
    </row>
    <row r="27" spans="1:10" x14ac:dyDescent="0.2">
      <c r="A27">
        <v>6</v>
      </c>
      <c r="B27" s="7">
        <f t="shared" si="9"/>
        <v>0</v>
      </c>
      <c r="E27" s="7">
        <f t="shared" si="6"/>
        <v>0</v>
      </c>
      <c r="G27" s="4" t="e">
        <f t="shared" si="10"/>
        <v>#DIV/0!</v>
      </c>
      <c r="H27" s="149"/>
      <c r="I27" s="4" t="e">
        <f t="shared" si="7"/>
        <v>#DIV/0!</v>
      </c>
      <c r="J27" t="e">
        <f t="shared" si="8"/>
        <v>#DIV/0!</v>
      </c>
    </row>
    <row r="28" spans="1:10" x14ac:dyDescent="0.2">
      <c r="B28" s="4">
        <f t="shared" ref="B28:E28" si="11">AVERAGE(B22:B27)</f>
        <v>0</v>
      </c>
      <c r="C28" s="152"/>
      <c r="D28" s="152"/>
      <c r="E28" s="4">
        <f t="shared" si="11"/>
        <v>0</v>
      </c>
      <c r="F28" s="152"/>
      <c r="G28" s="152"/>
      <c r="H28" s="152"/>
      <c r="I28" s="152"/>
      <c r="J28" s="2" t="e">
        <f>AVERAGE(J22:J27)</f>
        <v>#DIV/0!</v>
      </c>
    </row>
    <row r="29" spans="1:10" ht="16" x14ac:dyDescent="0.2">
      <c r="A29" s="150" t="s">
        <v>15</v>
      </c>
      <c r="B29" s="150"/>
      <c r="C29" s="150"/>
      <c r="D29" s="150"/>
      <c r="E29" s="150"/>
      <c r="F29" s="150"/>
      <c r="G29" s="150"/>
      <c r="H29" s="150"/>
      <c r="I29" s="150"/>
      <c r="J29" s="150"/>
    </row>
    <row r="32" spans="1:10" x14ac:dyDescent="0.2">
      <c r="A32" t="s">
        <v>0</v>
      </c>
      <c r="B32" s="8" t="s">
        <v>16</v>
      </c>
      <c r="C32" s="8" t="s">
        <v>17</v>
      </c>
      <c r="D32" s="8" t="s">
        <v>18</v>
      </c>
    </row>
    <row r="33" spans="1:7" x14ac:dyDescent="0.2">
      <c r="A33">
        <v>1</v>
      </c>
      <c r="B33" s="13"/>
      <c r="C33" s="13"/>
      <c r="D33" s="13"/>
    </row>
    <row r="34" spans="1:7" x14ac:dyDescent="0.2">
      <c r="A34">
        <v>2</v>
      </c>
      <c r="B34" s="13"/>
      <c r="C34" s="13"/>
      <c r="D34" s="13"/>
    </row>
    <row r="35" spans="1:7" x14ac:dyDescent="0.2">
      <c r="A35">
        <v>3</v>
      </c>
      <c r="B35" s="13"/>
      <c r="C35" s="13"/>
      <c r="D35" s="13"/>
    </row>
    <row r="36" spans="1:7" x14ac:dyDescent="0.2">
      <c r="A36">
        <v>4</v>
      </c>
      <c r="B36" s="13"/>
      <c r="C36" s="13"/>
      <c r="D36" s="13"/>
    </row>
    <row r="37" spans="1:7" x14ac:dyDescent="0.2">
      <c r="A37">
        <v>5</v>
      </c>
      <c r="B37" s="8"/>
      <c r="C37" s="8"/>
      <c r="D37" s="8"/>
    </row>
    <row r="38" spans="1:7" x14ac:dyDescent="0.2">
      <c r="A38">
        <v>6</v>
      </c>
      <c r="B38" s="8"/>
      <c r="C38" s="8"/>
      <c r="D38" s="8"/>
    </row>
    <row r="41" spans="1:7" x14ac:dyDescent="0.2">
      <c r="A41" t="s">
        <v>0</v>
      </c>
      <c r="B41" t="s">
        <v>19</v>
      </c>
      <c r="C41" t="s">
        <v>20</v>
      </c>
      <c r="D41" t="s">
        <v>21</v>
      </c>
      <c r="E41" t="s">
        <v>5</v>
      </c>
      <c r="F41" s="1" t="s">
        <v>13</v>
      </c>
      <c r="G41" s="1" t="s">
        <v>14</v>
      </c>
    </row>
    <row r="42" spans="1:7" x14ac:dyDescent="0.2">
      <c r="A42">
        <v>1</v>
      </c>
      <c r="B42" s="7">
        <f>-ABS(B33-C33)</f>
        <v>0</v>
      </c>
      <c r="C42" s="7">
        <f>ABS(D33-C33)</f>
        <v>0</v>
      </c>
      <c r="D42" s="4" t="e">
        <f>(B42*C42)/(B42+C42)</f>
        <v>#DIV/0!</v>
      </c>
      <c r="E42" s="149" t="e">
        <f>AVERAGE(D42:D47)</f>
        <v>#DIV/0!</v>
      </c>
      <c r="F42" s="4" t="e">
        <f t="shared" ref="F42:F47" si="12">D42-$E$42</f>
        <v>#DIV/0!</v>
      </c>
      <c r="G42" s="3" t="e">
        <f>ABS(F42)</f>
        <v>#DIV/0!</v>
      </c>
    </row>
    <row r="43" spans="1:7" x14ac:dyDescent="0.2">
      <c r="A43">
        <v>2</v>
      </c>
      <c r="B43" s="7">
        <f t="shared" ref="B43:B47" si="13">-ABS(B34-C34)</f>
        <v>0</v>
      </c>
      <c r="C43" s="7">
        <f t="shared" ref="C43:C47" si="14">ABS(D34-C34)</f>
        <v>0</v>
      </c>
      <c r="D43" s="4" t="e">
        <f t="shared" ref="D43:D47" si="15">(B43*C43)/(B43+C43)</f>
        <v>#DIV/0!</v>
      </c>
      <c r="E43" s="149"/>
      <c r="F43" s="4" t="e">
        <f t="shared" si="12"/>
        <v>#DIV/0!</v>
      </c>
      <c r="G43" s="3" t="e">
        <f t="shared" ref="G43:G47" si="16">ABS(F43)</f>
        <v>#DIV/0!</v>
      </c>
    </row>
    <row r="44" spans="1:7" x14ac:dyDescent="0.2">
      <c r="A44">
        <v>3</v>
      </c>
      <c r="B44" s="7">
        <f t="shared" si="13"/>
        <v>0</v>
      </c>
      <c r="C44" s="7">
        <f t="shared" si="14"/>
        <v>0</v>
      </c>
      <c r="D44" s="4" t="e">
        <f t="shared" si="15"/>
        <v>#DIV/0!</v>
      </c>
      <c r="E44" s="149"/>
      <c r="F44" s="4" t="e">
        <f t="shared" si="12"/>
        <v>#DIV/0!</v>
      </c>
      <c r="G44" s="3" t="e">
        <f t="shared" si="16"/>
        <v>#DIV/0!</v>
      </c>
    </row>
    <row r="45" spans="1:7" x14ac:dyDescent="0.2">
      <c r="A45">
        <v>4</v>
      </c>
      <c r="B45" s="7">
        <f t="shared" si="13"/>
        <v>0</v>
      </c>
      <c r="C45" s="7">
        <f t="shared" si="14"/>
        <v>0</v>
      </c>
      <c r="D45" s="4" t="e">
        <f t="shared" si="15"/>
        <v>#DIV/0!</v>
      </c>
      <c r="E45" s="149"/>
      <c r="F45" s="4" t="e">
        <f t="shared" si="12"/>
        <v>#DIV/0!</v>
      </c>
      <c r="G45" s="3" t="e">
        <f t="shared" si="16"/>
        <v>#DIV/0!</v>
      </c>
    </row>
    <row r="46" spans="1:7" x14ac:dyDescent="0.2">
      <c r="A46">
        <v>5</v>
      </c>
      <c r="B46" s="7">
        <f t="shared" si="13"/>
        <v>0</v>
      </c>
      <c r="C46" s="7">
        <f t="shared" si="14"/>
        <v>0</v>
      </c>
      <c r="D46" s="4" t="e">
        <f t="shared" si="15"/>
        <v>#DIV/0!</v>
      </c>
      <c r="E46" s="149"/>
      <c r="F46" s="4" t="e">
        <f t="shared" si="12"/>
        <v>#DIV/0!</v>
      </c>
      <c r="G46" s="3" t="e">
        <f t="shared" si="16"/>
        <v>#DIV/0!</v>
      </c>
    </row>
    <row r="47" spans="1:7" x14ac:dyDescent="0.2">
      <c r="A47">
        <v>6</v>
      </c>
      <c r="B47" s="7">
        <f t="shared" si="13"/>
        <v>0</v>
      </c>
      <c r="C47" s="7">
        <f t="shared" si="14"/>
        <v>0</v>
      </c>
      <c r="D47" s="4" t="e">
        <f t="shared" si="15"/>
        <v>#DIV/0!</v>
      </c>
      <c r="E47" s="149"/>
      <c r="F47" s="4" t="e">
        <f t="shared" si="12"/>
        <v>#DIV/0!</v>
      </c>
      <c r="G47" s="3" t="e">
        <f t="shared" si="16"/>
        <v>#DIV/0!</v>
      </c>
    </row>
    <row r="48" spans="1:7" x14ac:dyDescent="0.2">
      <c r="B48" s="4">
        <f t="shared" ref="B48:C48" si="17">AVERAGE(B42:B47)</f>
        <v>0</v>
      </c>
      <c r="C48" s="4">
        <f t="shared" si="17"/>
        <v>0</v>
      </c>
      <c r="D48" s="154"/>
      <c r="E48" s="154"/>
      <c r="F48" s="154"/>
      <c r="G48" s="4" t="e">
        <f>AVERAGE(G42:G47)</f>
        <v>#DIV/0!</v>
      </c>
    </row>
    <row r="49" spans="1:7" ht="16" x14ac:dyDescent="0.2">
      <c r="A49" s="150" t="s">
        <v>22</v>
      </c>
      <c r="B49" s="150"/>
      <c r="C49" s="150"/>
      <c r="D49" s="150"/>
      <c r="E49" s="150"/>
      <c r="F49" s="150"/>
      <c r="G49" s="150"/>
    </row>
  </sheetData>
  <mergeCells count="10">
    <mergeCell ref="E42:E47"/>
    <mergeCell ref="A49:G49"/>
    <mergeCell ref="E2:E7"/>
    <mergeCell ref="A9:G9"/>
    <mergeCell ref="H22:H27"/>
    <mergeCell ref="A29:J29"/>
    <mergeCell ref="C28:D28"/>
    <mergeCell ref="F28:I28"/>
    <mergeCell ref="E8:F8"/>
    <mergeCell ref="D48:F4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Y38"/>
  <sheetViews>
    <sheetView zoomScale="70" zoomScaleNormal="70" zoomScalePageLayoutView="70" workbookViewId="0">
      <selection activeCell="B2" sqref="B2"/>
    </sheetView>
  </sheetViews>
  <sheetFormatPr baseColWidth="10" defaultColWidth="8.83203125" defaultRowHeight="15" x14ac:dyDescent="0.2"/>
  <cols>
    <col min="1" max="1" width="2.33203125" style="21" bestFit="1" customWidth="1"/>
    <col min="2" max="2" width="16.1640625" style="21" bestFit="1" customWidth="1"/>
    <col min="3" max="3" width="13.83203125" style="21" bestFit="1" customWidth="1"/>
    <col min="4" max="4" width="10.6640625" style="21" bestFit="1" customWidth="1"/>
    <col min="5" max="6" width="13.83203125" style="21" bestFit="1" customWidth="1"/>
    <col min="7" max="9" width="13" style="21" bestFit="1" customWidth="1"/>
    <col min="10" max="11" width="15.6640625" style="21" bestFit="1" customWidth="1"/>
    <col min="12" max="12" width="13" style="21" bestFit="1" customWidth="1"/>
    <col min="13" max="13" width="8.83203125" style="21"/>
    <col min="14" max="14" width="9.33203125" style="21" bestFit="1" customWidth="1"/>
    <col min="15" max="15" width="2.33203125" style="21" bestFit="1" customWidth="1"/>
    <col min="16" max="16" width="16.1640625" style="21" customWidth="1"/>
    <col min="17" max="17" width="13.83203125" style="21" customWidth="1"/>
    <col min="18" max="18" width="10.6640625" style="21" bestFit="1" customWidth="1"/>
    <col min="19" max="19" width="13.83203125" style="21" customWidth="1"/>
    <col min="20" max="20" width="13.83203125" style="21" bestFit="1" customWidth="1"/>
    <col min="21" max="21" width="11.83203125" style="21" bestFit="1" customWidth="1"/>
    <col min="22" max="23" width="13" style="21" bestFit="1" customWidth="1"/>
    <col min="24" max="25" width="15.6640625" style="21" bestFit="1" customWidth="1"/>
    <col min="26" max="16384" width="8.83203125" style="21"/>
  </cols>
  <sheetData>
    <row r="1" spans="1:25" x14ac:dyDescent="0.2">
      <c r="B1" s="22" t="s">
        <v>23</v>
      </c>
      <c r="C1" s="23" t="s">
        <v>24</v>
      </c>
      <c r="F1" s="156" t="s">
        <v>25</v>
      </c>
      <c r="G1" s="21" t="s">
        <v>26</v>
      </c>
      <c r="H1" s="21" t="s">
        <v>27</v>
      </c>
      <c r="I1" s="21" t="s">
        <v>28</v>
      </c>
      <c r="J1" s="21" t="s">
        <v>29</v>
      </c>
      <c r="K1" s="21" t="s">
        <v>30</v>
      </c>
      <c r="L1" s="21" t="s">
        <v>31</v>
      </c>
      <c r="N1" s="156" t="s">
        <v>32</v>
      </c>
      <c r="P1" s="21" t="s">
        <v>33</v>
      </c>
      <c r="Q1" s="21" t="s">
        <v>34</v>
      </c>
    </row>
    <row r="2" spans="1:25" x14ac:dyDescent="0.2">
      <c r="B2" s="24">
        <v>44.7</v>
      </c>
      <c r="C2" s="23">
        <v>1</v>
      </c>
      <c r="F2" s="156"/>
      <c r="G2" s="156">
        <f>C8/B8</f>
        <v>2.7777777777777779E-3</v>
      </c>
      <c r="H2" s="156">
        <f>C2/10/B2</f>
        <v>2.2371364653243847E-3</v>
      </c>
      <c r="I2" s="156">
        <f>C4/10/B4</f>
        <v>7.0274068868587491E-4</v>
      </c>
      <c r="J2" s="156">
        <f>G27/E27</f>
        <v>8.8921683834040401E-3</v>
      </c>
      <c r="K2" s="156">
        <f>C6/B6</f>
        <v>2.6695141484249865E-4</v>
      </c>
      <c r="L2" s="156" t="e">
        <f>F21/D21</f>
        <v>#DIV/0!</v>
      </c>
      <c r="N2" s="156"/>
      <c r="P2" s="25">
        <f>B2/100</f>
        <v>0.44700000000000001</v>
      </c>
      <c r="Q2" s="21">
        <v>1</v>
      </c>
    </row>
    <row r="3" spans="1:25" x14ac:dyDescent="0.2">
      <c r="B3" s="26" t="s">
        <v>35</v>
      </c>
      <c r="C3" s="21" t="s">
        <v>36</v>
      </c>
      <c r="F3" s="156"/>
      <c r="G3" s="156"/>
      <c r="H3" s="156"/>
      <c r="I3" s="156"/>
      <c r="J3" s="156"/>
      <c r="K3" s="156"/>
      <c r="L3" s="156"/>
      <c r="N3" s="156"/>
      <c r="P3" s="21" t="s">
        <v>37</v>
      </c>
      <c r="Q3" s="21" t="s">
        <v>38</v>
      </c>
    </row>
    <row r="4" spans="1:25" x14ac:dyDescent="0.2">
      <c r="B4" s="24">
        <v>142.30000000000001</v>
      </c>
      <c r="C4" s="23">
        <v>1</v>
      </c>
      <c r="F4" s="156"/>
      <c r="G4" s="156"/>
      <c r="H4" s="156"/>
      <c r="I4" s="156"/>
      <c r="J4" s="156"/>
      <c r="K4" s="156"/>
      <c r="L4" s="156"/>
      <c r="N4" s="156"/>
      <c r="P4" s="25">
        <f>B4/100</f>
        <v>1.423</v>
      </c>
      <c r="Q4" s="21">
        <v>1</v>
      </c>
    </row>
    <row r="5" spans="1:25" x14ac:dyDescent="0.2">
      <c r="B5" s="26" t="s">
        <v>39</v>
      </c>
      <c r="C5" s="21" t="s">
        <v>40</v>
      </c>
      <c r="F5" s="156"/>
      <c r="G5" s="156"/>
      <c r="H5" s="156"/>
      <c r="I5" s="156"/>
      <c r="J5" s="156"/>
      <c r="K5" s="156"/>
      <c r="L5" s="156"/>
      <c r="N5" s="156"/>
      <c r="P5" s="21" t="s">
        <v>41</v>
      </c>
      <c r="Q5" s="21" t="s">
        <v>38</v>
      </c>
    </row>
    <row r="6" spans="1:25" x14ac:dyDescent="0.2">
      <c r="B6" s="24">
        <v>74.92</v>
      </c>
      <c r="C6" s="23">
        <v>0.02</v>
      </c>
      <c r="F6" s="156"/>
      <c r="G6" s="156"/>
      <c r="H6" s="156"/>
      <c r="I6" s="156"/>
      <c r="J6" s="156"/>
      <c r="K6" s="156"/>
      <c r="L6" s="156"/>
      <c r="N6" s="156"/>
      <c r="P6" s="25">
        <f>B6/1000</f>
        <v>7.492E-2</v>
      </c>
      <c r="Q6" s="21">
        <v>0.02</v>
      </c>
    </row>
    <row r="7" spans="1:25" x14ac:dyDescent="0.2">
      <c r="B7" s="26" t="s">
        <v>42</v>
      </c>
      <c r="C7" s="21" t="s">
        <v>43</v>
      </c>
      <c r="F7" s="156"/>
      <c r="G7" s="156"/>
      <c r="H7" s="156"/>
      <c r="I7" s="156"/>
      <c r="J7" s="156"/>
      <c r="K7" s="156"/>
      <c r="L7" s="156"/>
      <c r="N7" s="156"/>
      <c r="P7" s="21" t="s">
        <v>44</v>
      </c>
      <c r="Q7" s="21" t="s">
        <v>45</v>
      </c>
    </row>
    <row r="8" spans="1:25" x14ac:dyDescent="0.2">
      <c r="B8" s="24">
        <v>360</v>
      </c>
      <c r="C8" s="23">
        <v>1</v>
      </c>
      <c r="F8" s="156"/>
      <c r="G8" s="156"/>
      <c r="H8" s="156"/>
      <c r="I8" s="156"/>
      <c r="J8" s="156"/>
      <c r="K8" s="156"/>
      <c r="L8" s="156"/>
      <c r="N8" s="156"/>
      <c r="P8" s="25">
        <f>B8/1000</f>
        <v>0.36</v>
      </c>
      <c r="Q8" s="21">
        <v>1</v>
      </c>
    </row>
    <row r="9" spans="1:25" x14ac:dyDescent="0.2">
      <c r="A9" s="146" t="s">
        <v>46</v>
      </c>
      <c r="B9" s="146"/>
      <c r="C9" s="146"/>
      <c r="D9" s="146"/>
      <c r="E9" s="146"/>
      <c r="N9" s="156"/>
      <c r="O9" s="21" t="s">
        <v>47</v>
      </c>
    </row>
    <row r="10" spans="1:25" x14ac:dyDescent="0.2">
      <c r="A10" s="21" t="s">
        <v>48</v>
      </c>
      <c r="B10" s="21" t="s">
        <v>49</v>
      </c>
      <c r="C10" s="21" t="s">
        <v>50</v>
      </c>
      <c r="D10" s="21" t="s">
        <v>51</v>
      </c>
      <c r="E10" s="21" t="s">
        <v>52</v>
      </c>
      <c r="F10" s="21" t="s">
        <v>24</v>
      </c>
      <c r="N10" s="156"/>
      <c r="O10" s="21" t="s">
        <v>53</v>
      </c>
      <c r="P10" s="21" t="s">
        <v>54</v>
      </c>
      <c r="Q10" s="21" t="s">
        <v>55</v>
      </c>
      <c r="R10" s="21" t="s">
        <v>56</v>
      </c>
      <c r="S10" s="21" t="s">
        <v>57</v>
      </c>
      <c r="T10" s="21" t="s">
        <v>34</v>
      </c>
      <c r="U10" s="21" t="s">
        <v>58</v>
      </c>
      <c r="V10" s="21" t="s">
        <v>59</v>
      </c>
      <c r="W10" s="21" t="s">
        <v>60</v>
      </c>
      <c r="X10" s="21" t="s">
        <v>61</v>
      </c>
      <c r="Y10" s="21" t="s">
        <v>62</v>
      </c>
    </row>
    <row r="11" spans="1:25" x14ac:dyDescent="0.2">
      <c r="A11" s="21">
        <v>1</v>
      </c>
      <c r="B11" s="21">
        <v>0</v>
      </c>
      <c r="C11" s="30"/>
      <c r="D11" s="30"/>
      <c r="E11" s="24" t="e">
        <f t="shared" ref="E11:E18" si="0">AVERAGE(C11:D11)</f>
        <v>#DIV/0!</v>
      </c>
      <c r="F11" s="158">
        <v>0.5</v>
      </c>
      <c r="G11" s="27"/>
      <c r="H11" s="27"/>
      <c r="I11" s="27"/>
      <c r="J11" s="27"/>
      <c r="N11" s="156"/>
      <c r="O11" s="21">
        <v>1</v>
      </c>
      <c r="P11" s="21">
        <v>0</v>
      </c>
      <c r="Q11" s="21">
        <v>18</v>
      </c>
      <c r="R11" s="21">
        <v>18</v>
      </c>
      <c r="S11" s="21">
        <v>18</v>
      </c>
      <c r="T11" s="21">
        <v>0.5</v>
      </c>
    </row>
    <row r="12" spans="1:25" x14ac:dyDescent="0.2">
      <c r="A12" s="21">
        <v>2</v>
      </c>
      <c r="B12" s="21">
        <v>360</v>
      </c>
      <c r="C12" s="30"/>
      <c r="D12" s="30"/>
      <c r="E12" s="24" t="e">
        <f t="shared" si="0"/>
        <v>#DIV/0!</v>
      </c>
      <c r="F12" s="158"/>
      <c r="G12" s="27"/>
      <c r="H12" s="27"/>
      <c r="I12" s="27"/>
      <c r="J12" s="27"/>
      <c r="N12" s="156"/>
      <c r="O12" s="21">
        <v>2</v>
      </c>
      <c r="P12" s="21">
        <v>360</v>
      </c>
      <c r="Q12" s="21">
        <v>19.100000000000001</v>
      </c>
      <c r="R12" s="21">
        <v>19.100000000000001</v>
      </c>
      <c r="S12" s="21">
        <v>19.100000000000001</v>
      </c>
    </row>
    <row r="13" spans="1:25" x14ac:dyDescent="0.2">
      <c r="A13" s="21">
        <v>3</v>
      </c>
      <c r="B13" s="21">
        <v>720</v>
      </c>
      <c r="C13" s="30"/>
      <c r="D13" s="30"/>
      <c r="E13" s="24" t="e">
        <f t="shared" si="0"/>
        <v>#DIV/0!</v>
      </c>
      <c r="F13" s="158"/>
      <c r="G13" s="27"/>
      <c r="H13" s="27"/>
      <c r="I13" s="27"/>
      <c r="J13" s="27"/>
      <c r="N13" s="156"/>
      <c r="O13" s="21">
        <v>3</v>
      </c>
      <c r="P13" s="21">
        <v>720</v>
      </c>
      <c r="Q13" s="21">
        <v>19.75</v>
      </c>
      <c r="R13" s="21">
        <v>19.89</v>
      </c>
      <c r="S13" s="21">
        <v>19.82</v>
      </c>
    </row>
    <row r="14" spans="1:25" x14ac:dyDescent="0.2">
      <c r="A14" s="21">
        <v>4</v>
      </c>
      <c r="B14" s="21">
        <v>1080</v>
      </c>
      <c r="C14" s="30"/>
      <c r="D14" s="30"/>
      <c r="E14" s="24" t="e">
        <f t="shared" si="0"/>
        <v>#DIV/0!</v>
      </c>
      <c r="F14" s="158"/>
      <c r="G14" s="27"/>
      <c r="H14" s="27"/>
      <c r="I14" s="27"/>
      <c r="J14" s="27"/>
      <c r="N14" s="156"/>
      <c r="O14" s="21">
        <v>4</v>
      </c>
      <c r="P14" s="21">
        <v>1080</v>
      </c>
      <c r="Q14" s="21">
        <v>20.399999999999999</v>
      </c>
      <c r="R14" s="21">
        <v>20.5</v>
      </c>
      <c r="S14" s="21">
        <v>20.45</v>
      </c>
    </row>
    <row r="15" spans="1:25" x14ac:dyDescent="0.2">
      <c r="A15" s="21">
        <v>5</v>
      </c>
      <c r="B15" s="21">
        <v>1440</v>
      </c>
      <c r="C15" s="30"/>
      <c r="D15" s="30"/>
      <c r="E15" s="24" t="e">
        <f t="shared" si="0"/>
        <v>#DIV/0!</v>
      </c>
      <c r="F15" s="158"/>
      <c r="G15" s="27"/>
      <c r="H15" s="27"/>
      <c r="I15" s="27"/>
      <c r="J15" s="27"/>
      <c r="N15" s="156"/>
      <c r="O15" s="21">
        <v>5</v>
      </c>
      <c r="P15" s="21">
        <v>1440</v>
      </c>
      <c r="Q15" s="21">
        <v>21.05</v>
      </c>
      <c r="R15" s="21">
        <v>21.1</v>
      </c>
      <c r="S15" s="21">
        <v>21.075000000000003</v>
      </c>
    </row>
    <row r="16" spans="1:25" x14ac:dyDescent="0.2">
      <c r="A16" s="21">
        <v>6</v>
      </c>
      <c r="B16" s="21">
        <v>1800</v>
      </c>
      <c r="C16" s="30"/>
      <c r="D16" s="30"/>
      <c r="E16" s="24" t="e">
        <f t="shared" si="0"/>
        <v>#DIV/0!</v>
      </c>
      <c r="F16" s="158"/>
      <c r="G16" s="27"/>
      <c r="H16" s="27"/>
      <c r="I16" s="27"/>
      <c r="J16" s="27"/>
      <c r="N16" s="156"/>
      <c r="O16" s="21">
        <v>6</v>
      </c>
      <c r="P16" s="21">
        <v>1800</v>
      </c>
      <c r="Q16" s="21">
        <v>21.6</v>
      </c>
      <c r="R16" s="21">
        <v>21.62</v>
      </c>
      <c r="S16" s="21">
        <v>21.61</v>
      </c>
    </row>
    <row r="17" spans="1:25" x14ac:dyDescent="0.2">
      <c r="A17" s="21">
        <v>7</v>
      </c>
      <c r="B17" s="21">
        <v>2160</v>
      </c>
      <c r="C17" s="30"/>
      <c r="D17" s="30"/>
      <c r="E17" s="24" t="e">
        <f t="shared" si="0"/>
        <v>#DIV/0!</v>
      </c>
      <c r="F17" s="158"/>
      <c r="G17" s="27"/>
      <c r="H17" s="27"/>
      <c r="I17" s="27"/>
      <c r="J17" s="27"/>
      <c r="N17" s="156"/>
      <c r="O17" s="21">
        <v>7</v>
      </c>
      <c r="P17" s="21">
        <v>2160</v>
      </c>
      <c r="Q17" s="21">
        <v>22.15</v>
      </c>
      <c r="R17" s="21">
        <v>22.19</v>
      </c>
      <c r="S17" s="21">
        <v>22.17</v>
      </c>
    </row>
    <row r="18" spans="1:25" x14ac:dyDescent="0.2">
      <c r="A18" s="21">
        <v>8</v>
      </c>
      <c r="B18" s="21">
        <v>2520</v>
      </c>
      <c r="C18" s="30"/>
      <c r="D18" s="30"/>
      <c r="E18" s="24" t="e">
        <f t="shared" si="0"/>
        <v>#DIV/0!</v>
      </c>
      <c r="F18" s="158"/>
      <c r="G18" s="27"/>
      <c r="H18" s="27"/>
      <c r="I18" s="27"/>
      <c r="J18" s="27"/>
      <c r="N18" s="156"/>
      <c r="O18" s="21">
        <v>8</v>
      </c>
      <c r="P18" s="21">
        <v>2520</v>
      </c>
      <c r="Q18" s="21">
        <v>22.69</v>
      </c>
      <c r="R18" s="21">
        <v>22.69</v>
      </c>
      <c r="S18" s="21">
        <v>22.69</v>
      </c>
    </row>
    <row r="19" spans="1:25" x14ac:dyDescent="0.2">
      <c r="B19" s="146" t="s">
        <v>63</v>
      </c>
      <c r="C19" s="146"/>
      <c r="D19" s="146"/>
      <c r="N19" s="156"/>
      <c r="P19" s="21" t="s">
        <v>64</v>
      </c>
    </row>
    <row r="20" spans="1:25" x14ac:dyDescent="0.2">
      <c r="C20" s="21" t="s">
        <v>65</v>
      </c>
      <c r="D20" s="21" t="s">
        <v>66</v>
      </c>
      <c r="E20" s="21" t="s">
        <v>67</v>
      </c>
      <c r="F20" s="21" t="s">
        <v>68</v>
      </c>
      <c r="G20" s="21" t="s">
        <v>69</v>
      </c>
      <c r="H20" s="21" t="s">
        <v>70</v>
      </c>
      <c r="I20" s="21" t="s">
        <v>71</v>
      </c>
      <c r="J20" s="21" t="s">
        <v>72</v>
      </c>
      <c r="N20" s="156"/>
      <c r="Q20" s="21" t="s">
        <v>73</v>
      </c>
      <c r="R20" s="21" t="s">
        <v>74</v>
      </c>
      <c r="S20" s="21" t="s">
        <v>34</v>
      </c>
      <c r="T20" s="21" t="s">
        <v>58</v>
      </c>
      <c r="U20" s="21" t="s">
        <v>59</v>
      </c>
      <c r="V20" s="21" t="s">
        <v>60</v>
      </c>
      <c r="W20" s="21" t="s">
        <v>61</v>
      </c>
      <c r="X20" s="21" t="s">
        <v>62</v>
      </c>
    </row>
    <row r="21" spans="1:25" x14ac:dyDescent="0.2">
      <c r="B21" s="21">
        <v>1</v>
      </c>
      <c r="C21" s="23" t="e">
        <f t="shared" ref="C21:C24" si="1">E14-E11</f>
        <v>#DIV/0!</v>
      </c>
      <c r="D21" s="159" t="e">
        <f>AVERAGE(C21:C24)</f>
        <v>#DIV/0!</v>
      </c>
      <c r="E21" s="156">
        <v>0.5</v>
      </c>
      <c r="F21" s="156" t="e">
        <f>SQRT((G21*H21)^2+I21^2)</f>
        <v>#DIV/0!</v>
      </c>
      <c r="G21" s="156">
        <v>1.06</v>
      </c>
      <c r="H21" s="156" t="e">
        <f>SQRT(SUM(J21:J24)/($B$24*$B$23))</f>
        <v>#DIV/0!</v>
      </c>
      <c r="I21" s="156">
        <f>E21/SQRT(3)</f>
        <v>0.28867513459481292</v>
      </c>
      <c r="J21" s="21" t="e">
        <f t="shared" ref="J21:J24" si="2">(C21-$D$21)^2</f>
        <v>#DIV/0!</v>
      </c>
      <c r="N21" s="156"/>
      <c r="P21" s="21">
        <v>1</v>
      </c>
      <c r="Q21" s="21">
        <v>2.4499999999999993</v>
      </c>
      <c r="R21" s="25" t="e">
        <f>D21/100</f>
        <v>#DIV/0!</v>
      </c>
      <c r="S21" s="21">
        <v>0.5</v>
      </c>
      <c r="T21" s="21">
        <v>0.3372295765375074</v>
      </c>
      <c r="U21" s="21">
        <v>1.06</v>
      </c>
      <c r="V21" s="21">
        <v>0.16446092494368747</v>
      </c>
      <c r="W21" s="21">
        <v>0.28867513459481292</v>
      </c>
      <c r="X21" s="21">
        <v>0.21738906249999881</v>
      </c>
    </row>
    <row r="22" spans="1:25" x14ac:dyDescent="0.2">
      <c r="B22" s="21">
        <v>2</v>
      </c>
      <c r="C22" s="23" t="e">
        <f t="shared" si="1"/>
        <v>#DIV/0!</v>
      </c>
      <c r="D22" s="159"/>
      <c r="E22" s="156"/>
      <c r="F22" s="156"/>
      <c r="G22" s="156"/>
      <c r="H22" s="156"/>
      <c r="I22" s="156"/>
      <c r="J22" s="21" t="e">
        <f t="shared" si="2"/>
        <v>#DIV/0!</v>
      </c>
      <c r="N22" s="156"/>
      <c r="P22" s="21">
        <v>2</v>
      </c>
      <c r="Q22" s="21">
        <v>1.9750000000000014</v>
      </c>
      <c r="X22" s="21">
        <v>7.6562499999985076E-5</v>
      </c>
    </row>
    <row r="23" spans="1:25" x14ac:dyDescent="0.2">
      <c r="B23" s="21">
        <v>3</v>
      </c>
      <c r="C23" s="23" t="e">
        <f t="shared" si="1"/>
        <v>#DIV/0!</v>
      </c>
      <c r="D23" s="159"/>
      <c r="E23" s="156"/>
      <c r="F23" s="156"/>
      <c r="G23" s="156"/>
      <c r="H23" s="156"/>
      <c r="I23" s="156"/>
      <c r="J23" s="21" t="e">
        <f t="shared" si="2"/>
        <v>#DIV/0!</v>
      </c>
      <c r="N23" s="156"/>
      <c r="P23" s="21">
        <v>3</v>
      </c>
      <c r="Q23" s="21">
        <v>1.7899999999999991</v>
      </c>
      <c r="X23" s="21">
        <v>3.7539062500000553E-2</v>
      </c>
    </row>
    <row r="24" spans="1:25" x14ac:dyDescent="0.2">
      <c r="B24" s="21">
        <v>4</v>
      </c>
      <c r="C24" s="23" t="e">
        <f t="shared" si="1"/>
        <v>#DIV/0!</v>
      </c>
      <c r="D24" s="159"/>
      <c r="E24" s="156"/>
      <c r="F24" s="156"/>
      <c r="G24" s="156"/>
      <c r="H24" s="156"/>
      <c r="I24" s="156"/>
      <c r="J24" s="21" t="e">
        <f t="shared" si="2"/>
        <v>#DIV/0!</v>
      </c>
      <c r="N24" s="156"/>
      <c r="P24" s="21">
        <v>4</v>
      </c>
      <c r="Q24" s="21">
        <v>1.7200000000000024</v>
      </c>
      <c r="X24" s="21">
        <v>6.9564062499999024E-2</v>
      </c>
    </row>
    <row r="25" spans="1:25" x14ac:dyDescent="0.2">
      <c r="F25" s="21" t="e">
        <f>ROUNDUP(F21,2)</f>
        <v>#DIV/0!</v>
      </c>
      <c r="N25" s="156"/>
      <c r="T25" s="21">
        <v>0.34</v>
      </c>
    </row>
    <row r="26" spans="1:25" x14ac:dyDescent="0.2">
      <c r="A26" s="21" t="s">
        <v>48</v>
      </c>
      <c r="B26" s="21" t="s">
        <v>75</v>
      </c>
      <c r="C26" s="21" t="s">
        <v>76</v>
      </c>
      <c r="D26" s="21" t="s">
        <v>77</v>
      </c>
      <c r="E26" s="21" t="s">
        <v>78</v>
      </c>
      <c r="F26" s="21" t="s">
        <v>79</v>
      </c>
      <c r="G26" s="21" t="s">
        <v>80</v>
      </c>
      <c r="H26" s="21" t="s">
        <v>81</v>
      </c>
      <c r="I26" s="21" t="s">
        <v>82</v>
      </c>
      <c r="J26" s="21" t="s">
        <v>71</v>
      </c>
      <c r="K26" s="21" t="s">
        <v>83</v>
      </c>
      <c r="N26" s="156"/>
      <c r="O26" s="21" t="s">
        <v>53</v>
      </c>
      <c r="P26" s="21" t="s">
        <v>84</v>
      </c>
      <c r="Q26" s="21" t="s">
        <v>85</v>
      </c>
      <c r="R26" s="21" t="s">
        <v>86</v>
      </c>
      <c r="S26" s="21" t="s">
        <v>87</v>
      </c>
      <c r="T26" s="21" t="s">
        <v>34</v>
      </c>
      <c r="U26" s="21" t="s">
        <v>88</v>
      </c>
      <c r="V26" s="21" t="s">
        <v>59</v>
      </c>
      <c r="W26" s="21" t="s">
        <v>60</v>
      </c>
      <c r="X26" s="21" t="s">
        <v>61</v>
      </c>
      <c r="Y26" s="21" t="s">
        <v>62</v>
      </c>
    </row>
    <row r="27" spans="1:25" x14ac:dyDescent="0.2">
      <c r="A27" s="21">
        <v>1</v>
      </c>
      <c r="B27" s="28">
        <v>0.29199999999999998</v>
      </c>
      <c r="C27" s="157">
        <f>-0.01</f>
        <v>-0.01</v>
      </c>
      <c r="D27" s="28">
        <f t="shared" ref="D27:D31" si="3">B27-$C$27</f>
        <v>0.30199999999999999</v>
      </c>
      <c r="E27" s="157">
        <f>AVERAGE(D27:D31)</f>
        <v>0.30639999999999995</v>
      </c>
      <c r="F27" s="157">
        <v>4.0000000000000001E-3</v>
      </c>
      <c r="G27" s="156">
        <f>SQRT((H27*I27)^2+J27^2)</f>
        <v>2.7245603926749976E-3</v>
      </c>
      <c r="H27" s="156">
        <v>1.06</v>
      </c>
      <c r="I27" s="156">
        <f>SQRT(SUM(K27:K31)/($A$31*$A$30))</f>
        <v>1.3638181696985867E-3</v>
      </c>
      <c r="J27" s="156">
        <f>F27/SQRT(3)</f>
        <v>2.3094010767585032E-3</v>
      </c>
      <c r="K27" s="29">
        <f>(D27-$E$27)^2</f>
        <v>1.9359999999999645E-5</v>
      </c>
      <c r="N27" s="156"/>
      <c r="O27" s="21">
        <v>1</v>
      </c>
      <c r="P27" s="21">
        <v>0.29199999999999998</v>
      </c>
      <c r="Q27" s="21">
        <v>-0.01</v>
      </c>
      <c r="R27" s="21">
        <v>0.30199999999999999</v>
      </c>
      <c r="S27" s="25">
        <f>E27/1000</f>
        <v>3.0639999999999997E-4</v>
      </c>
      <c r="T27" s="21">
        <v>4.0000000000000001E-3</v>
      </c>
      <c r="U27" s="21">
        <v>2.7245603926749976E-3</v>
      </c>
      <c r="V27" s="21">
        <v>1.06</v>
      </c>
      <c r="W27" s="21">
        <v>1.3638181696985867E-3</v>
      </c>
      <c r="X27" s="21">
        <v>2.3094010767585032E-3</v>
      </c>
      <c r="Y27" s="21">
        <v>1.9359999999999645E-5</v>
      </c>
    </row>
    <row r="28" spans="1:25" x14ac:dyDescent="0.2">
      <c r="A28" s="21">
        <v>2</v>
      </c>
      <c r="B28" s="28">
        <v>0.3</v>
      </c>
      <c r="C28" s="157"/>
      <c r="D28" s="28">
        <f t="shared" si="3"/>
        <v>0.31</v>
      </c>
      <c r="E28" s="157"/>
      <c r="F28" s="157"/>
      <c r="G28" s="156"/>
      <c r="H28" s="156"/>
      <c r="I28" s="156"/>
      <c r="J28" s="156"/>
      <c r="K28" s="29">
        <f t="shared" ref="K28:K31" si="4">(D28-$E$27)^2</f>
        <v>1.2960000000000343E-5</v>
      </c>
      <c r="N28" s="156"/>
      <c r="O28" s="21">
        <v>2</v>
      </c>
      <c r="P28" s="21">
        <v>0.3</v>
      </c>
      <c r="R28" s="21">
        <v>0.31</v>
      </c>
      <c r="Y28" s="21">
        <v>1.2960000000000343E-5</v>
      </c>
    </row>
    <row r="29" spans="1:25" x14ac:dyDescent="0.2">
      <c r="A29" s="21">
        <v>3</v>
      </c>
      <c r="B29" s="28">
        <v>0.29799999999999999</v>
      </c>
      <c r="C29" s="157"/>
      <c r="D29" s="28">
        <f t="shared" si="3"/>
        <v>0.308</v>
      </c>
      <c r="E29" s="157"/>
      <c r="F29" s="157"/>
      <c r="G29" s="156"/>
      <c r="H29" s="156"/>
      <c r="I29" s="156"/>
      <c r="J29" s="156"/>
      <c r="K29" s="29">
        <f t="shared" si="4"/>
        <v>2.5600000000001466E-6</v>
      </c>
      <c r="N29" s="156"/>
      <c r="O29" s="21">
        <v>3</v>
      </c>
      <c r="P29" s="21">
        <v>0.29799999999999999</v>
      </c>
      <c r="R29" s="21">
        <v>0.308</v>
      </c>
      <c r="Y29" s="21">
        <v>2.5600000000001466E-6</v>
      </c>
    </row>
    <row r="30" spans="1:25" x14ac:dyDescent="0.2">
      <c r="A30" s="21">
        <v>4</v>
      </c>
      <c r="B30" s="28">
        <v>0.29499999999999998</v>
      </c>
      <c r="C30" s="157"/>
      <c r="D30" s="28">
        <f t="shared" si="3"/>
        <v>0.30499999999999999</v>
      </c>
      <c r="E30" s="157"/>
      <c r="F30" s="157"/>
      <c r="G30" s="156"/>
      <c r="H30" s="156"/>
      <c r="I30" s="156"/>
      <c r="J30" s="156"/>
      <c r="K30" s="29">
        <f t="shared" si="4"/>
        <v>1.9599999999998792E-6</v>
      </c>
      <c r="N30" s="156"/>
      <c r="O30" s="21">
        <v>4</v>
      </c>
      <c r="P30" s="21">
        <v>0.29499999999999998</v>
      </c>
      <c r="R30" s="21">
        <v>0.30499999999999999</v>
      </c>
      <c r="Y30" s="21">
        <v>1.9599999999998792E-6</v>
      </c>
    </row>
    <row r="31" spans="1:25" x14ac:dyDescent="0.2">
      <c r="A31" s="21">
        <v>5</v>
      </c>
      <c r="B31" s="28">
        <v>0.29699999999999999</v>
      </c>
      <c r="C31" s="157"/>
      <c r="D31" s="28">
        <f t="shared" si="3"/>
        <v>0.307</v>
      </c>
      <c r="E31" s="157"/>
      <c r="F31" s="157"/>
      <c r="G31" s="156"/>
      <c r="H31" s="156"/>
      <c r="I31" s="156"/>
      <c r="J31" s="156"/>
      <c r="K31" s="29">
        <f t="shared" si="4"/>
        <v>3.6000000000005394E-7</v>
      </c>
      <c r="N31" s="156"/>
      <c r="O31" s="21">
        <v>5</v>
      </c>
      <c r="P31" s="21">
        <v>0.29699999999999999</v>
      </c>
      <c r="R31" s="21">
        <v>0.307</v>
      </c>
      <c r="Y31" s="21">
        <v>3.6000000000005394E-7</v>
      </c>
    </row>
    <row r="32" spans="1:25" x14ac:dyDescent="0.2">
      <c r="G32" s="27">
        <f>ROUNDUP(G27,3)</f>
        <v>3.0000000000000001E-3</v>
      </c>
      <c r="H32" s="27"/>
      <c r="I32" s="27"/>
      <c r="J32" s="27"/>
      <c r="N32" s="156"/>
      <c r="U32" s="21">
        <v>3.0000000000000001E-3</v>
      </c>
    </row>
    <row r="33" spans="2:11" x14ac:dyDescent="0.2">
      <c r="B33" s="156" t="s">
        <v>89</v>
      </c>
      <c r="C33" s="156"/>
      <c r="D33" s="156"/>
      <c r="E33" s="156"/>
      <c r="F33" s="156"/>
      <c r="G33" s="156"/>
      <c r="H33" s="156"/>
      <c r="I33" s="156"/>
      <c r="J33" s="156"/>
      <c r="K33" s="156"/>
    </row>
    <row r="34" spans="2:11" x14ac:dyDescent="0.2">
      <c r="B34" s="155" t="e">
        <f>(8*4*P8*9.8*P2*P4)/(PI()*S27^2*P6*R21)</f>
        <v>#DIV/0!</v>
      </c>
      <c r="C34" s="155"/>
      <c r="D34" s="155"/>
      <c r="E34" s="155"/>
      <c r="F34" s="155"/>
      <c r="G34" s="155"/>
      <c r="H34" s="155"/>
      <c r="I34" s="155"/>
      <c r="J34" s="155"/>
      <c r="K34" s="155"/>
    </row>
    <row r="35" spans="2:11" x14ac:dyDescent="0.2">
      <c r="B35" s="156" t="s">
        <v>25</v>
      </c>
      <c r="C35" s="156"/>
      <c r="D35" s="156"/>
      <c r="E35" s="156"/>
      <c r="F35" s="156"/>
      <c r="G35" s="156"/>
      <c r="H35" s="156"/>
      <c r="I35" s="156"/>
      <c r="J35" s="156"/>
      <c r="K35" s="156"/>
    </row>
    <row r="36" spans="2:11" x14ac:dyDescent="0.2">
      <c r="B36" s="146" t="e">
        <f>SQRT(G2^2+H2^2+I2^2+(2*J2)^2+K2^2+L2^2)</f>
        <v>#DIV/0!</v>
      </c>
      <c r="C36" s="146"/>
      <c r="D36" s="146"/>
      <c r="E36" s="146"/>
      <c r="F36" s="146"/>
      <c r="G36" s="146"/>
      <c r="H36" s="146"/>
      <c r="I36" s="146"/>
      <c r="J36" s="146"/>
      <c r="K36" s="146"/>
    </row>
    <row r="37" spans="2:11" x14ac:dyDescent="0.2">
      <c r="B37" s="156" t="s">
        <v>90</v>
      </c>
      <c r="C37" s="156"/>
      <c r="D37" s="156"/>
      <c r="E37" s="156"/>
      <c r="F37" s="156"/>
      <c r="G37" s="156"/>
      <c r="H37" s="156"/>
      <c r="I37" s="156"/>
      <c r="J37" s="156"/>
      <c r="K37" s="156"/>
    </row>
    <row r="38" spans="2:11" x14ac:dyDescent="0.2">
      <c r="B38" s="155" t="e">
        <f>B34*B36</f>
        <v>#DIV/0!</v>
      </c>
      <c r="C38" s="146"/>
      <c r="D38" s="146"/>
      <c r="E38" s="146"/>
      <c r="F38" s="146"/>
      <c r="G38" s="146"/>
      <c r="H38" s="146"/>
      <c r="I38" s="146"/>
      <c r="J38" s="146"/>
      <c r="K38" s="146"/>
    </row>
  </sheetData>
  <mergeCells count="30">
    <mergeCell ref="F1:F8"/>
    <mergeCell ref="N1:N32"/>
    <mergeCell ref="G2:G8"/>
    <mergeCell ref="H2:H8"/>
    <mergeCell ref="I2:I8"/>
    <mergeCell ref="J2:J8"/>
    <mergeCell ref="K2:K8"/>
    <mergeCell ref="L2:L8"/>
    <mergeCell ref="G21:G24"/>
    <mergeCell ref="H21:H24"/>
    <mergeCell ref="I21:I24"/>
    <mergeCell ref="I27:I31"/>
    <mergeCell ref="A9:E9"/>
    <mergeCell ref="F11:F18"/>
    <mergeCell ref="B19:D19"/>
    <mergeCell ref="D21:D24"/>
    <mergeCell ref="E21:E24"/>
    <mergeCell ref="F21:F24"/>
    <mergeCell ref="B38:K38"/>
    <mergeCell ref="J27:J31"/>
    <mergeCell ref="B33:K33"/>
    <mergeCell ref="B34:K34"/>
    <mergeCell ref="B35:K35"/>
    <mergeCell ref="B36:K36"/>
    <mergeCell ref="B37:K37"/>
    <mergeCell ref="C27:C31"/>
    <mergeCell ref="E27:E31"/>
    <mergeCell ref="F27:F31"/>
    <mergeCell ref="G27:G31"/>
    <mergeCell ref="H27:H3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69"/>
  <sheetViews>
    <sheetView tabSelected="1" zoomScale="70" zoomScaleNormal="70" zoomScalePageLayoutView="70" workbookViewId="0">
      <selection activeCell="B59" activeCellId="1" sqref="B3:C13 B59:C69"/>
    </sheetView>
  </sheetViews>
  <sheetFormatPr baseColWidth="10" defaultColWidth="8.83203125" defaultRowHeight="15" x14ac:dyDescent="0.2"/>
  <cols>
    <col min="1" max="16384" width="8.83203125" style="15"/>
  </cols>
  <sheetData>
    <row r="1" spans="1:7" x14ac:dyDescent="0.2">
      <c r="A1" s="160" t="s">
        <v>91</v>
      </c>
      <c r="B1" s="160"/>
      <c r="C1" s="160"/>
      <c r="F1" s="160"/>
      <c r="G1" s="160"/>
    </row>
    <row r="2" spans="1:7" x14ac:dyDescent="0.2">
      <c r="A2" s="15" t="s">
        <v>92</v>
      </c>
      <c r="B2" s="15" t="s">
        <v>93</v>
      </c>
      <c r="C2" s="15" t="s">
        <v>94</v>
      </c>
    </row>
    <row r="3" spans="1:7" x14ac:dyDescent="0.2">
      <c r="A3" s="15">
        <v>1</v>
      </c>
      <c r="B3" s="18"/>
      <c r="C3" s="18"/>
      <c r="E3" s="19"/>
      <c r="F3" s="20"/>
      <c r="G3" s="20"/>
    </row>
    <row r="4" spans="1:7" x14ac:dyDescent="0.2">
      <c r="A4" s="15">
        <v>2</v>
      </c>
      <c r="B4" s="18"/>
      <c r="C4" s="18"/>
      <c r="E4" s="19"/>
      <c r="F4" s="20"/>
      <c r="G4" s="20"/>
    </row>
    <row r="5" spans="1:7" x14ac:dyDescent="0.2">
      <c r="A5" s="15">
        <v>3</v>
      </c>
      <c r="B5" s="18"/>
      <c r="C5" s="18"/>
      <c r="E5" s="19"/>
      <c r="F5" s="20"/>
      <c r="G5" s="20"/>
    </row>
    <row r="6" spans="1:7" x14ac:dyDescent="0.2">
      <c r="A6" s="15">
        <v>4</v>
      </c>
      <c r="B6" s="18"/>
      <c r="C6" s="18"/>
      <c r="E6" s="19"/>
      <c r="F6" s="20"/>
      <c r="G6" s="20"/>
    </row>
    <row r="7" spans="1:7" x14ac:dyDescent="0.2">
      <c r="A7" s="15">
        <v>5</v>
      </c>
      <c r="B7" s="18"/>
      <c r="C7" s="18"/>
      <c r="E7" s="19"/>
      <c r="F7" s="20"/>
      <c r="G7" s="20"/>
    </row>
    <row r="8" spans="1:7" x14ac:dyDescent="0.2">
      <c r="A8" s="15">
        <v>6</v>
      </c>
      <c r="B8" s="18"/>
      <c r="C8" s="18"/>
      <c r="E8" s="19"/>
      <c r="F8" s="20"/>
      <c r="G8" s="20"/>
    </row>
    <row r="9" spans="1:7" x14ac:dyDescent="0.2">
      <c r="A9" s="15">
        <v>7</v>
      </c>
      <c r="B9" s="18"/>
      <c r="C9" s="18"/>
      <c r="E9" s="19"/>
      <c r="F9" s="20"/>
      <c r="G9" s="20"/>
    </row>
    <row r="10" spans="1:7" x14ac:dyDescent="0.2">
      <c r="A10" s="15">
        <v>8</v>
      </c>
      <c r="B10" s="18"/>
      <c r="C10" s="18"/>
      <c r="E10" s="19"/>
      <c r="F10" s="20"/>
      <c r="G10" s="20"/>
    </row>
    <row r="11" spans="1:7" x14ac:dyDescent="0.2">
      <c r="A11" s="15">
        <v>9</v>
      </c>
      <c r="B11" s="18"/>
      <c r="C11" s="18"/>
      <c r="E11" s="19"/>
      <c r="F11" s="20"/>
      <c r="G11" s="20"/>
    </row>
    <row r="12" spans="1:7" x14ac:dyDescent="0.2">
      <c r="A12" s="15">
        <v>10</v>
      </c>
      <c r="B12" s="18"/>
      <c r="C12" s="18"/>
      <c r="E12" s="19"/>
      <c r="F12" s="20"/>
      <c r="G12" s="20"/>
    </row>
    <row r="13" spans="1:7" x14ac:dyDescent="0.2">
      <c r="A13" s="15">
        <v>11</v>
      </c>
      <c r="B13" s="18"/>
      <c r="C13" s="18"/>
      <c r="E13" s="19"/>
      <c r="F13" s="20"/>
      <c r="G13" s="20"/>
    </row>
    <row r="14" spans="1:7" x14ac:dyDescent="0.2">
      <c r="E14" s="19"/>
      <c r="F14" s="19"/>
      <c r="G14" s="19"/>
    </row>
    <row r="15" spans="1:7" x14ac:dyDescent="0.2">
      <c r="E15" s="19"/>
      <c r="F15" s="19"/>
      <c r="G15" s="19"/>
    </row>
    <row r="16" spans="1:7" x14ac:dyDescent="0.2">
      <c r="B16" s="160" t="s">
        <v>95</v>
      </c>
      <c r="C16" s="160"/>
      <c r="E16" s="19"/>
      <c r="F16" s="19"/>
      <c r="G16" s="19"/>
    </row>
    <row r="17" spans="1:7" x14ac:dyDescent="0.2">
      <c r="A17" s="15" t="s">
        <v>96</v>
      </c>
      <c r="B17" s="15" t="s">
        <v>97</v>
      </c>
      <c r="C17" s="15" t="s">
        <v>98</v>
      </c>
      <c r="E17" s="19"/>
      <c r="F17" s="19"/>
      <c r="G17" s="19"/>
    </row>
    <row r="18" spans="1:7" hidden="1" x14ac:dyDescent="0.2">
      <c r="A18" s="15">
        <v>1</v>
      </c>
      <c r="B18" s="16">
        <v>0</v>
      </c>
      <c r="C18" s="16">
        <v>0.01</v>
      </c>
      <c r="D18" s="161" t="s">
        <v>99</v>
      </c>
      <c r="E18" s="19"/>
      <c r="F18" s="20"/>
      <c r="G18" s="20"/>
    </row>
    <row r="19" spans="1:7" hidden="1" x14ac:dyDescent="0.2">
      <c r="A19" s="15">
        <v>2</v>
      </c>
      <c r="B19" s="16">
        <v>0.2</v>
      </c>
      <c r="C19" s="16">
        <v>0.01</v>
      </c>
      <c r="D19" s="161"/>
      <c r="E19" s="19"/>
      <c r="F19" s="20"/>
      <c r="G19" s="20"/>
    </row>
    <row r="20" spans="1:7" hidden="1" x14ac:dyDescent="0.2">
      <c r="A20" s="15">
        <v>3</v>
      </c>
      <c r="B20" s="16">
        <v>0.4</v>
      </c>
      <c r="C20" s="16">
        <v>0.01</v>
      </c>
      <c r="D20" s="161"/>
      <c r="E20" s="19"/>
      <c r="F20" s="20"/>
      <c r="G20" s="20"/>
    </row>
    <row r="21" spans="1:7" hidden="1" x14ac:dyDescent="0.2">
      <c r="A21" s="15">
        <v>4</v>
      </c>
      <c r="B21" s="16">
        <v>0.6</v>
      </c>
      <c r="C21" s="16">
        <v>0.01</v>
      </c>
      <c r="D21" s="161"/>
      <c r="E21" s="19"/>
      <c r="F21" s="20"/>
      <c r="G21" s="20"/>
    </row>
    <row r="22" spans="1:7" hidden="1" x14ac:dyDescent="0.2">
      <c r="A22" s="15">
        <v>5</v>
      </c>
      <c r="B22" s="16">
        <v>0.8</v>
      </c>
      <c r="C22" s="16">
        <v>0.01</v>
      </c>
      <c r="D22" s="161"/>
      <c r="E22" s="19"/>
      <c r="F22" s="20"/>
      <c r="G22" s="20"/>
    </row>
    <row r="23" spans="1:7" hidden="1" x14ac:dyDescent="0.2">
      <c r="A23" s="15">
        <v>6</v>
      </c>
      <c r="B23" s="16">
        <v>1</v>
      </c>
      <c r="C23" s="16">
        <v>0.01</v>
      </c>
      <c r="D23" s="161"/>
      <c r="E23" s="19"/>
      <c r="F23" s="20"/>
      <c r="G23" s="20"/>
    </row>
    <row r="24" spans="1:7" hidden="1" x14ac:dyDescent="0.2">
      <c r="A24" s="15">
        <v>7</v>
      </c>
      <c r="B24" s="16">
        <v>1.2</v>
      </c>
      <c r="C24" s="16">
        <v>0.01</v>
      </c>
      <c r="D24" s="161"/>
      <c r="E24" s="19"/>
      <c r="F24" s="20"/>
      <c r="G24" s="20"/>
    </row>
    <row r="25" spans="1:7" hidden="1" x14ac:dyDescent="0.2">
      <c r="A25" s="15">
        <v>8</v>
      </c>
      <c r="B25" s="16">
        <v>1.4</v>
      </c>
      <c r="C25" s="16">
        <v>0.01</v>
      </c>
      <c r="D25" s="161"/>
      <c r="E25" s="19"/>
      <c r="F25" s="20"/>
      <c r="G25" s="20"/>
    </row>
    <row r="26" spans="1:7" hidden="1" x14ac:dyDescent="0.2">
      <c r="A26" s="15">
        <v>9</v>
      </c>
      <c r="B26" s="16">
        <v>1.6</v>
      </c>
      <c r="C26" s="16">
        <v>0.01</v>
      </c>
      <c r="D26" s="161"/>
      <c r="E26" s="19"/>
      <c r="F26" s="20"/>
      <c r="G26" s="20"/>
    </row>
    <row r="27" spans="1:7" hidden="1" x14ac:dyDescent="0.2">
      <c r="A27" s="15">
        <v>10</v>
      </c>
      <c r="B27" s="16">
        <v>1.8</v>
      </c>
      <c r="C27" s="16">
        <v>0.01</v>
      </c>
      <c r="D27" s="161"/>
      <c r="E27" s="19"/>
      <c r="F27" s="20"/>
      <c r="G27" s="20"/>
    </row>
    <row r="28" spans="1:7" hidden="1" x14ac:dyDescent="0.2">
      <c r="A28" s="15">
        <v>11</v>
      </c>
      <c r="B28" s="16">
        <v>2</v>
      </c>
      <c r="C28" s="16">
        <v>0.01</v>
      </c>
      <c r="D28" s="161"/>
      <c r="E28" s="19"/>
      <c r="F28" s="20"/>
      <c r="G28" s="20"/>
    </row>
    <row r="29" spans="1:7" hidden="1" x14ac:dyDescent="0.2">
      <c r="A29" s="15">
        <v>12</v>
      </c>
      <c r="B29" s="16">
        <v>2.2000000000000002</v>
      </c>
      <c r="C29" s="16">
        <v>0.01</v>
      </c>
      <c r="D29" s="161"/>
      <c r="E29" s="19"/>
      <c r="F29" s="20"/>
      <c r="G29" s="20"/>
    </row>
    <row r="30" spans="1:7" hidden="1" x14ac:dyDescent="0.2">
      <c r="A30" s="15">
        <v>13</v>
      </c>
      <c r="B30" s="16">
        <v>2.4</v>
      </c>
      <c r="C30" s="16">
        <v>0.01</v>
      </c>
      <c r="D30" s="161"/>
      <c r="E30" s="19"/>
      <c r="F30" s="20"/>
      <c r="G30" s="20"/>
    </row>
    <row r="31" spans="1:7" hidden="1" x14ac:dyDescent="0.2">
      <c r="A31" s="15">
        <v>14</v>
      </c>
      <c r="B31" s="16">
        <v>2.6</v>
      </c>
      <c r="C31" s="16">
        <v>0.01</v>
      </c>
      <c r="D31" s="161"/>
      <c r="E31" s="19"/>
      <c r="F31" s="20"/>
      <c r="G31" s="20"/>
    </row>
    <row r="32" spans="1:7" hidden="1" x14ac:dyDescent="0.2">
      <c r="A32" s="15">
        <v>15</v>
      </c>
      <c r="B32" s="16">
        <v>2.8</v>
      </c>
      <c r="C32" s="16">
        <v>0.01</v>
      </c>
      <c r="D32" s="161"/>
      <c r="E32" s="19"/>
      <c r="F32" s="20"/>
      <c r="G32" s="20"/>
    </row>
    <row r="33" spans="1:7" hidden="1" x14ac:dyDescent="0.2">
      <c r="A33" s="15">
        <v>16</v>
      </c>
      <c r="B33" s="16">
        <v>3</v>
      </c>
      <c r="C33" s="16">
        <v>0.01</v>
      </c>
      <c r="D33" s="161"/>
      <c r="E33" s="19"/>
      <c r="F33" s="20"/>
      <c r="G33" s="20"/>
    </row>
    <row r="34" spans="1:7" hidden="1" x14ac:dyDescent="0.2">
      <c r="A34" s="15">
        <v>17</v>
      </c>
      <c r="B34" s="16">
        <v>3.2</v>
      </c>
      <c r="C34" s="16">
        <v>0.01</v>
      </c>
      <c r="D34" s="161"/>
      <c r="E34" s="19"/>
      <c r="F34" s="20"/>
      <c r="G34" s="20"/>
    </row>
    <row r="35" spans="1:7" hidden="1" x14ac:dyDescent="0.2">
      <c r="A35" s="15">
        <v>18</v>
      </c>
      <c r="B35" s="16">
        <v>3.4</v>
      </c>
      <c r="C35" s="16">
        <v>0.01</v>
      </c>
      <c r="D35" s="161"/>
      <c r="E35" s="19"/>
      <c r="F35" s="20"/>
      <c r="G35" s="20"/>
    </row>
    <row r="36" spans="1:7" hidden="1" x14ac:dyDescent="0.2">
      <c r="A36" s="15">
        <v>19</v>
      </c>
      <c r="B36" s="16">
        <v>3.6</v>
      </c>
      <c r="C36" s="16">
        <v>0.01</v>
      </c>
      <c r="D36" s="161"/>
      <c r="E36" s="19"/>
      <c r="F36" s="20"/>
      <c r="G36" s="20"/>
    </row>
    <row r="37" spans="1:7" hidden="1" x14ac:dyDescent="0.2">
      <c r="A37" s="15">
        <v>20</v>
      </c>
      <c r="B37" s="16">
        <v>3.8</v>
      </c>
      <c r="C37" s="16">
        <v>0.01</v>
      </c>
      <c r="D37" s="161"/>
      <c r="E37" s="19"/>
      <c r="F37" s="20"/>
      <c r="G37" s="20"/>
    </row>
    <row r="38" spans="1:7" hidden="1" x14ac:dyDescent="0.2">
      <c r="A38" s="15">
        <v>21</v>
      </c>
      <c r="B38" s="16">
        <v>4</v>
      </c>
      <c r="C38" s="16">
        <v>0.01</v>
      </c>
      <c r="D38" s="161"/>
      <c r="E38" s="19"/>
      <c r="F38" s="20"/>
      <c r="G38" s="20"/>
    </row>
    <row r="39" spans="1:7" hidden="1" x14ac:dyDescent="0.2">
      <c r="A39" s="15">
        <v>22</v>
      </c>
      <c r="B39" s="16">
        <v>4.2</v>
      </c>
      <c r="C39" s="16">
        <v>0.01</v>
      </c>
      <c r="D39" s="161"/>
      <c r="E39" s="19"/>
      <c r="F39" s="20"/>
      <c r="G39" s="20"/>
    </row>
    <row r="40" spans="1:7" hidden="1" x14ac:dyDescent="0.2">
      <c r="A40" s="15">
        <v>23</v>
      </c>
      <c r="B40" s="16">
        <v>4.4000000000000004</v>
      </c>
      <c r="C40" s="16">
        <v>0.01</v>
      </c>
      <c r="D40" s="161"/>
      <c r="E40" s="19"/>
      <c r="F40" s="20"/>
      <c r="G40" s="20"/>
    </row>
    <row r="41" spans="1:7" hidden="1" x14ac:dyDescent="0.2">
      <c r="A41" s="15">
        <v>24</v>
      </c>
      <c r="B41" s="16">
        <v>4.5999999999999996</v>
      </c>
      <c r="C41" s="16">
        <v>0.01</v>
      </c>
      <c r="D41" s="161"/>
      <c r="E41" s="19"/>
      <c r="F41" s="20"/>
      <c r="G41" s="20"/>
    </row>
    <row r="42" spans="1:7" hidden="1" x14ac:dyDescent="0.2">
      <c r="A42" s="15">
        <v>25</v>
      </c>
      <c r="B42" s="16">
        <v>4.8</v>
      </c>
      <c r="C42" s="16">
        <v>0.01</v>
      </c>
      <c r="D42" s="161"/>
      <c r="E42" s="19"/>
      <c r="F42" s="20"/>
      <c r="G42" s="20"/>
    </row>
    <row r="43" spans="1:7" hidden="1" x14ac:dyDescent="0.2">
      <c r="A43" s="15">
        <v>26</v>
      </c>
      <c r="B43" s="16">
        <v>5</v>
      </c>
      <c r="C43" s="16">
        <v>0.01</v>
      </c>
      <c r="D43" s="161"/>
      <c r="E43" s="19"/>
      <c r="F43" s="20"/>
      <c r="G43" s="20"/>
    </row>
    <row r="44" spans="1:7" hidden="1" x14ac:dyDescent="0.2">
      <c r="A44" s="15">
        <v>27</v>
      </c>
      <c r="B44" s="16">
        <v>5.2</v>
      </c>
      <c r="C44" s="16">
        <v>0.01</v>
      </c>
      <c r="D44" s="161"/>
      <c r="E44" s="19"/>
      <c r="F44" s="20"/>
      <c r="G44" s="20"/>
    </row>
    <row r="45" spans="1:7" hidden="1" x14ac:dyDescent="0.2">
      <c r="A45" s="15">
        <v>28</v>
      </c>
      <c r="B45" s="16">
        <v>5.4</v>
      </c>
      <c r="C45" s="16">
        <v>0.01</v>
      </c>
      <c r="D45" s="161"/>
      <c r="E45" s="19"/>
      <c r="F45" s="20"/>
      <c r="G45" s="20"/>
    </row>
    <row r="46" spans="1:7" hidden="1" x14ac:dyDescent="0.2">
      <c r="A46" s="15">
        <v>29</v>
      </c>
      <c r="B46" s="16">
        <v>5.6</v>
      </c>
      <c r="C46" s="16">
        <v>0.01</v>
      </c>
      <c r="D46" s="161"/>
      <c r="E46" s="19"/>
      <c r="F46" s="20"/>
      <c r="G46" s="20"/>
    </row>
    <row r="47" spans="1:7" hidden="1" x14ac:dyDescent="0.2">
      <c r="A47" s="15">
        <v>30</v>
      </c>
      <c r="B47" s="16">
        <v>5.8</v>
      </c>
      <c r="C47" s="16">
        <v>0.01</v>
      </c>
      <c r="D47" s="161"/>
      <c r="E47" s="19"/>
      <c r="F47" s="20"/>
      <c r="G47" s="20"/>
    </row>
    <row r="48" spans="1:7" hidden="1" x14ac:dyDescent="0.2">
      <c r="A48" s="15">
        <v>31</v>
      </c>
      <c r="B48" s="16">
        <v>6</v>
      </c>
      <c r="C48" s="16">
        <v>0.01</v>
      </c>
      <c r="D48" s="161"/>
      <c r="E48" s="19"/>
      <c r="F48" s="20"/>
      <c r="G48" s="20"/>
    </row>
    <row r="49" spans="1:7" hidden="1" x14ac:dyDescent="0.2">
      <c r="A49" s="15">
        <v>32</v>
      </c>
      <c r="B49" s="16">
        <v>6.2</v>
      </c>
      <c r="C49" s="16">
        <v>0.01</v>
      </c>
      <c r="D49" s="161"/>
      <c r="E49" s="19"/>
      <c r="F49" s="20"/>
      <c r="G49" s="20"/>
    </row>
    <row r="50" spans="1:7" hidden="1" x14ac:dyDescent="0.2">
      <c r="A50" s="15">
        <v>33</v>
      </c>
      <c r="B50" s="16">
        <v>6.4</v>
      </c>
      <c r="C50" s="16">
        <v>0.01</v>
      </c>
      <c r="D50" s="161"/>
      <c r="E50" s="19"/>
      <c r="F50" s="20"/>
      <c r="G50" s="20"/>
    </row>
    <row r="51" spans="1:7" hidden="1" x14ac:dyDescent="0.2">
      <c r="A51" s="15">
        <v>34</v>
      </c>
      <c r="B51" s="16">
        <v>6.6</v>
      </c>
      <c r="C51" s="16">
        <v>0.01</v>
      </c>
      <c r="D51" s="161"/>
      <c r="E51" s="19"/>
      <c r="F51" s="20"/>
      <c r="G51" s="20"/>
    </row>
    <row r="52" spans="1:7" hidden="1" x14ac:dyDescent="0.2">
      <c r="A52" s="15">
        <v>35</v>
      </c>
      <c r="B52" s="16">
        <v>6.8</v>
      </c>
      <c r="C52" s="16">
        <v>0.01</v>
      </c>
      <c r="D52" s="161"/>
      <c r="E52" s="19"/>
      <c r="F52" s="20"/>
      <c r="G52" s="20"/>
    </row>
    <row r="53" spans="1:7" hidden="1" x14ac:dyDescent="0.2">
      <c r="A53" s="15">
        <v>36</v>
      </c>
      <c r="B53" s="16">
        <v>7</v>
      </c>
      <c r="C53" s="16">
        <v>0.01</v>
      </c>
      <c r="D53" s="161"/>
      <c r="E53" s="19"/>
      <c r="F53" s="20"/>
      <c r="G53" s="20"/>
    </row>
    <row r="54" spans="1:7" hidden="1" x14ac:dyDescent="0.2">
      <c r="A54" s="15">
        <v>37</v>
      </c>
      <c r="B54" s="16">
        <v>7.2</v>
      </c>
      <c r="C54" s="16">
        <v>0.01</v>
      </c>
      <c r="D54" s="161"/>
      <c r="E54" s="19"/>
      <c r="F54" s="20"/>
      <c r="G54" s="20"/>
    </row>
    <row r="55" spans="1:7" hidden="1" x14ac:dyDescent="0.2">
      <c r="A55" s="15">
        <v>38</v>
      </c>
      <c r="B55" s="16">
        <v>7.4</v>
      </c>
      <c r="C55" s="16">
        <v>0.01</v>
      </c>
      <c r="D55" s="161"/>
      <c r="E55" s="19"/>
      <c r="F55" s="20"/>
      <c r="G55" s="20"/>
    </row>
    <row r="56" spans="1:7" hidden="1" x14ac:dyDescent="0.2">
      <c r="A56" s="15">
        <v>39</v>
      </c>
      <c r="B56" s="16">
        <v>7.6</v>
      </c>
      <c r="C56" s="16">
        <v>0.01</v>
      </c>
      <c r="D56" s="161"/>
      <c r="E56" s="19"/>
      <c r="F56" s="20"/>
      <c r="G56" s="20"/>
    </row>
    <row r="57" spans="1:7" hidden="1" x14ac:dyDescent="0.2">
      <c r="A57" s="15">
        <v>40</v>
      </c>
      <c r="B57" s="16">
        <v>7.8</v>
      </c>
      <c r="C57" s="16">
        <v>0.01</v>
      </c>
      <c r="D57" s="161"/>
      <c r="E57" s="19"/>
      <c r="F57" s="20"/>
      <c r="G57" s="20"/>
    </row>
    <row r="58" spans="1:7" hidden="1" x14ac:dyDescent="0.2">
      <c r="A58" s="15">
        <v>41</v>
      </c>
      <c r="B58" s="16">
        <v>8</v>
      </c>
      <c r="C58" s="16">
        <v>0.01</v>
      </c>
      <c r="D58" s="161"/>
      <c r="E58" s="19"/>
      <c r="F58" s="20"/>
      <c r="G58" s="20"/>
    </row>
    <row r="59" spans="1:7" x14ac:dyDescent="0.2">
      <c r="A59" s="15">
        <v>42</v>
      </c>
      <c r="B59" s="18"/>
      <c r="C59" s="18"/>
      <c r="D59" s="162" t="s">
        <v>100</v>
      </c>
      <c r="E59" s="19"/>
      <c r="F59" s="20"/>
      <c r="G59" s="20"/>
    </row>
    <row r="60" spans="1:7" x14ac:dyDescent="0.2">
      <c r="A60" s="15">
        <v>43</v>
      </c>
      <c r="B60" s="18"/>
      <c r="C60" s="18"/>
      <c r="D60" s="162"/>
      <c r="E60" s="19"/>
      <c r="F60" s="20"/>
      <c r="G60" s="20"/>
    </row>
    <row r="61" spans="1:7" x14ac:dyDescent="0.2">
      <c r="A61" s="15">
        <v>44</v>
      </c>
      <c r="B61" s="18"/>
      <c r="C61" s="18"/>
      <c r="D61" s="162"/>
      <c r="E61" s="19"/>
      <c r="F61" s="20"/>
      <c r="G61" s="20"/>
    </row>
    <row r="62" spans="1:7" x14ac:dyDescent="0.2">
      <c r="A62" s="15">
        <v>45</v>
      </c>
      <c r="B62" s="18"/>
      <c r="C62" s="18"/>
      <c r="D62" s="162"/>
      <c r="E62" s="19"/>
      <c r="F62" s="20"/>
      <c r="G62" s="20"/>
    </row>
    <row r="63" spans="1:7" x14ac:dyDescent="0.2">
      <c r="A63" s="15">
        <v>46</v>
      </c>
      <c r="B63" s="18"/>
      <c r="C63" s="18"/>
      <c r="D63" s="162"/>
      <c r="E63" s="19"/>
      <c r="F63" s="20"/>
      <c r="G63" s="20"/>
    </row>
    <row r="64" spans="1:7" x14ac:dyDescent="0.2">
      <c r="A64" s="15">
        <v>47</v>
      </c>
      <c r="B64" s="18"/>
      <c r="C64" s="18"/>
      <c r="D64" s="162"/>
      <c r="E64" s="19"/>
      <c r="F64" s="20"/>
      <c r="G64" s="20"/>
    </row>
    <row r="65" spans="1:7" x14ac:dyDescent="0.2">
      <c r="A65" s="15">
        <v>48</v>
      </c>
      <c r="B65" s="18"/>
      <c r="C65" s="18"/>
      <c r="D65" s="162"/>
      <c r="E65" s="19"/>
      <c r="F65" s="20"/>
      <c r="G65" s="20"/>
    </row>
    <row r="66" spans="1:7" x14ac:dyDescent="0.2">
      <c r="A66" s="15">
        <v>49</v>
      </c>
      <c r="B66" s="18"/>
      <c r="C66" s="18"/>
      <c r="D66" s="162"/>
      <c r="E66" s="19"/>
      <c r="F66" s="20"/>
      <c r="G66" s="20"/>
    </row>
    <row r="67" spans="1:7" x14ac:dyDescent="0.2">
      <c r="A67" s="15">
        <v>50</v>
      </c>
      <c r="B67" s="18"/>
      <c r="C67" s="18"/>
      <c r="D67" s="162"/>
      <c r="E67" s="19"/>
      <c r="F67" s="20"/>
      <c r="G67" s="20"/>
    </row>
    <row r="68" spans="1:7" x14ac:dyDescent="0.2">
      <c r="A68" s="15">
        <v>51</v>
      </c>
      <c r="B68" s="18"/>
      <c r="C68" s="18"/>
      <c r="D68" s="162"/>
      <c r="E68" s="19"/>
      <c r="F68" s="20"/>
      <c r="G68" s="20"/>
    </row>
    <row r="69" spans="1:7" x14ac:dyDescent="0.2">
      <c r="A69" s="15">
        <v>52</v>
      </c>
      <c r="B69" s="18"/>
      <c r="C69" s="18"/>
      <c r="D69" s="162"/>
      <c r="E69" s="19"/>
      <c r="F69" s="20"/>
      <c r="G69" s="20"/>
    </row>
  </sheetData>
  <mergeCells count="5">
    <mergeCell ref="A1:C1"/>
    <mergeCell ref="F1:G1"/>
    <mergeCell ref="B16:C16"/>
    <mergeCell ref="D18:D58"/>
    <mergeCell ref="D59:D6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7"/>
  <sheetViews>
    <sheetView workbookViewId="0">
      <selection activeCell="D18" sqref="D18"/>
    </sheetView>
  </sheetViews>
  <sheetFormatPr baseColWidth="10" defaultColWidth="8.83203125" defaultRowHeight="15" x14ac:dyDescent="0.2"/>
  <cols>
    <col min="1" max="1" width="18.6640625" style="33" customWidth="1"/>
    <col min="2" max="16384" width="8.83203125" style="33"/>
  </cols>
  <sheetData>
    <row r="1" spans="1:7" x14ac:dyDescent="0.2">
      <c r="A1" s="31" t="s">
        <v>101</v>
      </c>
      <c r="B1" s="32">
        <v>10</v>
      </c>
      <c r="C1" s="32">
        <v>9</v>
      </c>
      <c r="D1" s="32">
        <v>8</v>
      </c>
      <c r="E1" s="32">
        <v>5</v>
      </c>
      <c r="F1" s="32">
        <v>2</v>
      </c>
      <c r="G1" s="32">
        <v>1</v>
      </c>
    </row>
    <row r="2" spans="1:7" x14ac:dyDescent="0.2">
      <c r="A2" s="31" t="s">
        <v>102</v>
      </c>
      <c r="B2" s="32">
        <v>10</v>
      </c>
      <c r="C2" s="32">
        <v>9</v>
      </c>
      <c r="D2" s="32">
        <v>8.1</v>
      </c>
      <c r="E2" s="32">
        <v>5</v>
      </c>
      <c r="F2" s="32">
        <v>2.1</v>
      </c>
      <c r="G2" s="32">
        <v>1.1000000000000001</v>
      </c>
    </row>
    <row r="3" spans="1:7" x14ac:dyDescent="0.2">
      <c r="A3" s="163" t="s">
        <v>105</v>
      </c>
      <c r="B3" s="163"/>
      <c r="C3" s="163"/>
      <c r="D3" s="163"/>
      <c r="E3" s="163"/>
      <c r="F3" s="163"/>
      <c r="G3" s="163"/>
    </row>
    <row r="4" spans="1:7" x14ac:dyDescent="0.2">
      <c r="A4" s="163"/>
      <c r="B4" s="163"/>
      <c r="C4" s="163"/>
      <c r="D4" s="163"/>
      <c r="E4" s="163"/>
      <c r="F4" s="163"/>
      <c r="G4" s="163"/>
    </row>
    <row r="5" spans="1:7" x14ac:dyDescent="0.2">
      <c r="A5" s="163"/>
      <c r="B5" s="163"/>
      <c r="C5" s="163"/>
      <c r="D5" s="163"/>
      <c r="E5" s="163"/>
      <c r="F5" s="163"/>
      <c r="G5" s="163"/>
    </row>
    <row r="6" spans="1:7" x14ac:dyDescent="0.2">
      <c r="A6" s="31" t="s">
        <v>103</v>
      </c>
      <c r="B6" s="32">
        <v>5</v>
      </c>
      <c r="C6" s="32">
        <v>4</v>
      </c>
      <c r="D6" s="32">
        <v>3</v>
      </c>
      <c r="E6" s="32">
        <v>2.5</v>
      </c>
      <c r="F6" s="32">
        <v>2</v>
      </c>
      <c r="G6" s="32">
        <v>1</v>
      </c>
    </row>
    <row r="7" spans="1:7" x14ac:dyDescent="0.2">
      <c r="A7" s="31" t="s">
        <v>104</v>
      </c>
      <c r="B7" s="32">
        <v>5</v>
      </c>
      <c r="C7" s="32">
        <v>4.05</v>
      </c>
      <c r="D7" s="32">
        <v>3.05</v>
      </c>
      <c r="E7" s="32">
        <v>2.5</v>
      </c>
      <c r="F7" s="32">
        <v>2.0499999999999998</v>
      </c>
      <c r="G7" s="32">
        <v>1.05</v>
      </c>
    </row>
  </sheetData>
  <mergeCells count="1">
    <mergeCell ref="A3:G5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V35"/>
  <sheetViews>
    <sheetView zoomScale="85" zoomScaleNormal="85" zoomScalePageLayoutView="85" workbookViewId="0">
      <selection activeCell="J2" sqref="J2"/>
    </sheetView>
  </sheetViews>
  <sheetFormatPr baseColWidth="10" defaultColWidth="8.83203125" defaultRowHeight="15" x14ac:dyDescent="0.2"/>
  <cols>
    <col min="1" max="10" width="8.83203125" style="14"/>
    <col min="11" max="11" width="6.5" style="14" customWidth="1"/>
    <col min="12" max="12" width="5.5" style="14" customWidth="1"/>
    <col min="13" max="13" width="13" style="15" customWidth="1"/>
    <col min="14" max="15" width="5.5" style="14" customWidth="1"/>
    <col min="16" max="16" width="9.6640625" style="15" customWidth="1"/>
    <col min="17" max="20" width="9.6640625" style="14" customWidth="1"/>
    <col min="21" max="21" width="13" style="14" customWidth="1"/>
    <col min="22" max="22" width="8.83203125" style="15"/>
    <col min="23" max="16384" width="8.83203125" style="14"/>
  </cols>
  <sheetData>
    <row r="1" spans="1:21" x14ac:dyDescent="0.2">
      <c r="A1" s="14" t="s">
        <v>123</v>
      </c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 t="s">
        <v>122</v>
      </c>
      <c r="H1" s="14" t="s">
        <v>121</v>
      </c>
      <c r="I1" s="14" t="s">
        <v>120</v>
      </c>
      <c r="J1" s="14" t="s">
        <v>119</v>
      </c>
      <c r="K1" s="14" t="s">
        <v>118</v>
      </c>
      <c r="L1" s="14" t="s">
        <v>117</v>
      </c>
      <c r="M1" s="14" t="s">
        <v>116</v>
      </c>
      <c r="N1" s="14" t="s">
        <v>115</v>
      </c>
      <c r="O1" s="38" t="s">
        <v>114</v>
      </c>
      <c r="P1" s="14" t="s">
        <v>113</v>
      </c>
      <c r="U1" s="42"/>
    </row>
    <row r="2" spans="1:21" x14ac:dyDescent="0.2">
      <c r="A2" s="14" t="s">
        <v>112</v>
      </c>
      <c r="B2" s="41"/>
      <c r="C2" s="41"/>
      <c r="D2" s="41"/>
      <c r="E2" s="41"/>
      <c r="F2" s="41"/>
      <c r="G2" s="40" t="e">
        <f>AVERAGE(B2:F2)</f>
        <v>#DIV/0!</v>
      </c>
      <c r="H2" s="161">
        <v>4</v>
      </c>
      <c r="I2" s="39" t="e">
        <f>$K$2*($J$3*$H$2/$G$3)/(J2*$H$2/G2)</f>
        <v>#DIV/0!</v>
      </c>
      <c r="J2" s="39">
        <v>4.0279999999999996</v>
      </c>
      <c r="K2" s="161">
        <v>9.4E-2</v>
      </c>
      <c r="L2" s="161">
        <v>0.01</v>
      </c>
      <c r="M2" s="165">
        <f>$L$2/SQRT(3)</f>
        <v>5.773502691896258E-3</v>
      </c>
      <c r="N2" s="161">
        <v>1.06</v>
      </c>
      <c r="O2" s="38" t="e">
        <f>ROUNDUP(SQRT((U2*$N$2)^2+$M$2^2),2)</f>
        <v>#DIV/0!</v>
      </c>
      <c r="P2" s="37" t="e">
        <f t="shared" ref="P2:T4" si="0">(B2-$G2)^2</f>
        <v>#DIV/0!</v>
      </c>
      <c r="Q2" s="37" t="e">
        <f t="shared" si="0"/>
        <v>#DIV/0!</v>
      </c>
      <c r="R2" s="37" t="e">
        <f t="shared" si="0"/>
        <v>#DIV/0!</v>
      </c>
      <c r="S2" s="37" t="e">
        <f t="shared" si="0"/>
        <v>#DIV/0!</v>
      </c>
      <c r="T2" s="37" t="e">
        <f t="shared" si="0"/>
        <v>#DIV/0!</v>
      </c>
      <c r="U2" s="36" t="e">
        <f>SQRT(SUM(P2:T2)/(5*4))</f>
        <v>#DIV/0!</v>
      </c>
    </row>
    <row r="3" spans="1:21" x14ac:dyDescent="0.2">
      <c r="A3" s="14" t="s">
        <v>111</v>
      </c>
      <c r="B3" s="41"/>
      <c r="C3" s="41"/>
      <c r="D3" s="41"/>
      <c r="E3" s="41"/>
      <c r="F3" s="41"/>
      <c r="G3" s="40" t="e">
        <f t="shared" ref="G3:G4" si="1">AVERAGE(B3:F3)</f>
        <v>#DIV/0!</v>
      </c>
      <c r="H3" s="161"/>
      <c r="I3" s="39" t="e">
        <f t="shared" ref="I3:I4" si="2">$K$2*($J$3*$H$2/$G$3)/(J3*$H$2/G3)</f>
        <v>#DIV/0!</v>
      </c>
      <c r="J3" s="39">
        <v>4.83</v>
      </c>
      <c r="K3" s="161"/>
      <c r="L3" s="161"/>
      <c r="M3" s="165"/>
      <c r="N3" s="161"/>
      <c r="O3" s="38" t="e">
        <f>ROUNDUP(SQRT((U3*$N$2)^2+$M$2^2),2)</f>
        <v>#DIV/0!</v>
      </c>
      <c r="P3" s="37" t="e">
        <f t="shared" si="0"/>
        <v>#DIV/0!</v>
      </c>
      <c r="Q3" s="37" t="e">
        <f t="shared" si="0"/>
        <v>#DIV/0!</v>
      </c>
      <c r="R3" s="37" t="e">
        <f t="shared" si="0"/>
        <v>#DIV/0!</v>
      </c>
      <c r="S3" s="37" t="e">
        <f t="shared" si="0"/>
        <v>#DIV/0!</v>
      </c>
      <c r="T3" s="37" t="e">
        <f t="shared" si="0"/>
        <v>#DIV/0!</v>
      </c>
      <c r="U3" s="36" t="e">
        <f>SQRT(SUM(P3:T3)/(5*4))</f>
        <v>#DIV/0!</v>
      </c>
    </row>
    <row r="4" spans="1:21" x14ac:dyDescent="0.2">
      <c r="A4" s="14" t="s">
        <v>110</v>
      </c>
      <c r="B4" s="41"/>
      <c r="C4" s="41"/>
      <c r="D4" s="41"/>
      <c r="E4" s="41"/>
      <c r="F4" s="41"/>
      <c r="G4" s="40" t="e">
        <f t="shared" si="1"/>
        <v>#DIV/0!</v>
      </c>
      <c r="H4" s="161"/>
      <c r="I4" s="39" t="e">
        <f t="shared" si="2"/>
        <v>#DIV/0!</v>
      </c>
      <c r="J4" s="39">
        <v>1.5</v>
      </c>
      <c r="K4" s="161"/>
      <c r="L4" s="161"/>
      <c r="M4" s="165"/>
      <c r="N4" s="161"/>
      <c r="O4" s="38" t="e">
        <f>ROUNDUP(SQRT((U4*$N$2)^2+$M$2^2),2)</f>
        <v>#DIV/0!</v>
      </c>
      <c r="P4" s="37" t="e">
        <f t="shared" si="0"/>
        <v>#DIV/0!</v>
      </c>
      <c r="Q4" s="37" t="e">
        <f t="shared" si="0"/>
        <v>#DIV/0!</v>
      </c>
      <c r="R4" s="37" t="e">
        <f t="shared" si="0"/>
        <v>#DIV/0!</v>
      </c>
      <c r="S4" s="37" t="e">
        <f t="shared" si="0"/>
        <v>#DIV/0!</v>
      </c>
      <c r="T4" s="37" t="e">
        <f t="shared" si="0"/>
        <v>#DIV/0!</v>
      </c>
      <c r="U4" s="36" t="e">
        <f>SQRT(SUM(P4:T4)/(5*4))</f>
        <v>#DIV/0!</v>
      </c>
    </row>
    <row r="6" spans="1:21" x14ac:dyDescent="0.2">
      <c r="A6" s="14" t="s">
        <v>109</v>
      </c>
      <c r="B6" s="14" t="s">
        <v>108</v>
      </c>
      <c r="C6" s="14" t="s">
        <v>107</v>
      </c>
      <c r="D6" s="14" t="s">
        <v>106</v>
      </c>
    </row>
    <row r="7" spans="1:21" x14ac:dyDescent="0.2">
      <c r="A7" s="35">
        <v>8</v>
      </c>
      <c r="B7" s="14">
        <f t="shared" ref="B7:B20" si="3">A7*20.2</f>
        <v>161.6</v>
      </c>
      <c r="C7" s="34">
        <v>0</v>
      </c>
    </row>
    <row r="8" spans="1:21" x14ac:dyDescent="0.2">
      <c r="A8" s="35">
        <v>7.5</v>
      </c>
      <c r="B8" s="14">
        <f t="shared" si="3"/>
        <v>151.5</v>
      </c>
      <c r="C8" s="41"/>
      <c r="D8" s="34" t="e">
        <f t="shared" ref="D8:D19" si="4">ABS(B9-B7)/(C9-C7)</f>
        <v>#DIV/0!</v>
      </c>
      <c r="E8" s="161" t="s">
        <v>124</v>
      </c>
    </row>
    <row r="9" spans="1:21" x14ac:dyDescent="0.2">
      <c r="A9" s="35">
        <v>7</v>
      </c>
      <c r="B9" s="14">
        <f t="shared" si="3"/>
        <v>141.4</v>
      </c>
      <c r="C9" s="41"/>
      <c r="D9" s="34" t="e">
        <f t="shared" si="4"/>
        <v>#DIV/0!</v>
      </c>
      <c r="E9" s="161"/>
    </row>
    <row r="10" spans="1:21" x14ac:dyDescent="0.2">
      <c r="A10" s="35">
        <v>6.5</v>
      </c>
      <c r="B10" s="14">
        <f t="shared" si="3"/>
        <v>131.29999999999998</v>
      </c>
      <c r="C10" s="41"/>
      <c r="D10" s="34" t="e">
        <f t="shared" si="4"/>
        <v>#DIV/0!</v>
      </c>
      <c r="E10" s="161"/>
    </row>
    <row r="11" spans="1:21" x14ac:dyDescent="0.2">
      <c r="A11" s="35">
        <v>6</v>
      </c>
      <c r="B11" s="14">
        <f t="shared" si="3"/>
        <v>121.19999999999999</v>
      </c>
      <c r="C11" s="41"/>
      <c r="D11" s="34" t="e">
        <f t="shared" si="4"/>
        <v>#DIV/0!</v>
      </c>
      <c r="E11" s="161"/>
    </row>
    <row r="12" spans="1:21" x14ac:dyDescent="0.2">
      <c r="A12" s="35">
        <v>5.5</v>
      </c>
      <c r="B12" s="14">
        <f t="shared" si="3"/>
        <v>111.1</v>
      </c>
      <c r="C12" s="41"/>
      <c r="D12" s="34" t="e">
        <f t="shared" si="4"/>
        <v>#DIV/0!</v>
      </c>
      <c r="E12" s="161"/>
    </row>
    <row r="13" spans="1:21" x14ac:dyDescent="0.2">
      <c r="A13" s="35">
        <v>5</v>
      </c>
      <c r="B13" s="14">
        <f t="shared" si="3"/>
        <v>101</v>
      </c>
      <c r="C13" s="41"/>
      <c r="D13" s="34" t="e">
        <f t="shared" si="4"/>
        <v>#DIV/0!</v>
      </c>
      <c r="E13" s="161"/>
    </row>
    <row r="14" spans="1:21" x14ac:dyDescent="0.2">
      <c r="A14" s="35">
        <v>4.5</v>
      </c>
      <c r="B14" s="14">
        <f t="shared" si="3"/>
        <v>90.899999999999991</v>
      </c>
      <c r="C14" s="41"/>
      <c r="D14" s="34" t="e">
        <f t="shared" si="4"/>
        <v>#DIV/0!</v>
      </c>
      <c r="E14" s="161"/>
    </row>
    <row r="15" spans="1:21" x14ac:dyDescent="0.2">
      <c r="A15" s="35">
        <v>4</v>
      </c>
      <c r="B15" s="14">
        <f t="shared" si="3"/>
        <v>80.8</v>
      </c>
      <c r="C15" s="41"/>
      <c r="D15" s="34" t="e">
        <f t="shared" si="4"/>
        <v>#DIV/0!</v>
      </c>
      <c r="E15" s="161"/>
    </row>
    <row r="16" spans="1:21" x14ac:dyDescent="0.2">
      <c r="A16" s="35">
        <v>3.5</v>
      </c>
      <c r="B16" s="14">
        <f t="shared" si="3"/>
        <v>70.7</v>
      </c>
      <c r="C16" s="41"/>
      <c r="D16" s="34" t="e">
        <f t="shared" si="4"/>
        <v>#DIV/0!</v>
      </c>
      <c r="E16" s="161"/>
    </row>
    <row r="17" spans="1:5" x14ac:dyDescent="0.2">
      <c r="A17" s="35">
        <v>3</v>
      </c>
      <c r="B17" s="14">
        <f t="shared" si="3"/>
        <v>60.599999999999994</v>
      </c>
      <c r="C17" s="41"/>
      <c r="D17" s="34" t="e">
        <f t="shared" si="4"/>
        <v>#DIV/0!</v>
      </c>
      <c r="E17" s="161"/>
    </row>
    <row r="18" spans="1:5" x14ac:dyDescent="0.2">
      <c r="A18" s="35">
        <v>2.5</v>
      </c>
      <c r="B18" s="14">
        <f t="shared" si="3"/>
        <v>50.5</v>
      </c>
      <c r="C18" s="41"/>
      <c r="D18" s="34" t="e">
        <f t="shared" si="4"/>
        <v>#DIV/0!</v>
      </c>
      <c r="E18" s="161"/>
    </row>
    <row r="19" spans="1:5" x14ac:dyDescent="0.2">
      <c r="A19" s="35">
        <v>2</v>
      </c>
      <c r="B19" s="14">
        <f t="shared" si="3"/>
        <v>40.4</v>
      </c>
      <c r="C19" s="41"/>
      <c r="D19" s="34" t="e">
        <f t="shared" si="4"/>
        <v>#DIV/0!</v>
      </c>
      <c r="E19" s="161"/>
    </row>
    <row r="20" spans="1:5" x14ac:dyDescent="0.2">
      <c r="A20" s="35">
        <v>1.5</v>
      </c>
      <c r="B20" s="14">
        <f t="shared" si="3"/>
        <v>30.299999999999997</v>
      </c>
      <c r="C20" s="41"/>
    </row>
    <row r="23" spans="1:5" x14ac:dyDescent="0.2">
      <c r="B23" s="164" t="s">
        <v>125</v>
      </c>
      <c r="C23" s="164"/>
    </row>
    <row r="24" spans="1:5" x14ac:dyDescent="0.2">
      <c r="B24" s="43">
        <f t="shared" ref="B24:B35" si="5">B8</f>
        <v>151.5</v>
      </c>
      <c r="C24" s="44" t="e">
        <f t="shared" ref="C24:C35" si="6">D8</f>
        <v>#DIV/0!</v>
      </c>
    </row>
    <row r="25" spans="1:5" x14ac:dyDescent="0.2">
      <c r="B25" s="43">
        <f t="shared" si="5"/>
        <v>141.4</v>
      </c>
      <c r="C25" s="44" t="e">
        <f t="shared" si="6"/>
        <v>#DIV/0!</v>
      </c>
    </row>
    <row r="26" spans="1:5" x14ac:dyDescent="0.2">
      <c r="B26" s="43">
        <f t="shared" si="5"/>
        <v>131.29999999999998</v>
      </c>
      <c r="C26" s="44" t="e">
        <f t="shared" si="6"/>
        <v>#DIV/0!</v>
      </c>
    </row>
    <row r="27" spans="1:5" x14ac:dyDescent="0.2">
      <c r="B27" s="43">
        <f t="shared" si="5"/>
        <v>121.19999999999999</v>
      </c>
      <c r="C27" s="44" t="e">
        <f t="shared" si="6"/>
        <v>#DIV/0!</v>
      </c>
    </row>
    <row r="28" spans="1:5" x14ac:dyDescent="0.2">
      <c r="B28" s="43">
        <f t="shared" si="5"/>
        <v>111.1</v>
      </c>
      <c r="C28" s="44" t="e">
        <f t="shared" si="6"/>
        <v>#DIV/0!</v>
      </c>
    </row>
    <row r="29" spans="1:5" x14ac:dyDescent="0.2">
      <c r="B29" s="43">
        <f t="shared" si="5"/>
        <v>101</v>
      </c>
      <c r="C29" s="44" t="e">
        <f t="shared" si="6"/>
        <v>#DIV/0!</v>
      </c>
    </row>
    <row r="30" spans="1:5" x14ac:dyDescent="0.2">
      <c r="B30" s="43">
        <f t="shared" si="5"/>
        <v>90.899999999999991</v>
      </c>
      <c r="C30" s="44" t="e">
        <f t="shared" si="6"/>
        <v>#DIV/0!</v>
      </c>
    </row>
    <row r="31" spans="1:5" x14ac:dyDescent="0.2">
      <c r="B31" s="43">
        <f t="shared" si="5"/>
        <v>80.8</v>
      </c>
      <c r="C31" s="44" t="e">
        <f t="shared" si="6"/>
        <v>#DIV/0!</v>
      </c>
    </row>
    <row r="32" spans="1:5" x14ac:dyDescent="0.2">
      <c r="B32" s="43">
        <f t="shared" si="5"/>
        <v>70.7</v>
      </c>
      <c r="C32" s="44" t="e">
        <f t="shared" si="6"/>
        <v>#DIV/0!</v>
      </c>
    </row>
    <row r="33" spans="2:3" x14ac:dyDescent="0.2">
      <c r="B33" s="43">
        <f t="shared" si="5"/>
        <v>60.599999999999994</v>
      </c>
      <c r="C33" s="44" t="e">
        <f t="shared" si="6"/>
        <v>#DIV/0!</v>
      </c>
    </row>
    <row r="34" spans="2:3" x14ac:dyDescent="0.2">
      <c r="B34" s="43">
        <f t="shared" si="5"/>
        <v>50.5</v>
      </c>
      <c r="C34" s="44" t="e">
        <f t="shared" si="6"/>
        <v>#DIV/0!</v>
      </c>
    </row>
    <row r="35" spans="2:3" x14ac:dyDescent="0.2">
      <c r="B35" s="43">
        <f t="shared" si="5"/>
        <v>40.4</v>
      </c>
      <c r="C35" s="44" t="e">
        <f t="shared" si="6"/>
        <v>#DIV/0!</v>
      </c>
    </row>
  </sheetData>
  <mergeCells count="7">
    <mergeCell ref="B23:C23"/>
    <mergeCell ref="N2:N4"/>
    <mergeCell ref="K2:K4"/>
    <mergeCell ref="H2:H4"/>
    <mergeCell ref="M2:M4"/>
    <mergeCell ref="L2:L4"/>
    <mergeCell ref="E8:E1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O42"/>
  <sheetViews>
    <sheetView zoomScale="85" zoomScaleNormal="85" zoomScalePageLayoutView="85" workbookViewId="0">
      <selection activeCell="J43" sqref="J43"/>
    </sheetView>
  </sheetViews>
  <sheetFormatPr baseColWidth="10" defaultColWidth="8.83203125" defaultRowHeight="15" x14ac:dyDescent="0.2"/>
  <cols>
    <col min="1" max="1" width="13.1640625" style="45" customWidth="1"/>
    <col min="2" max="2" width="12.5" style="45" customWidth="1"/>
    <col min="3" max="3" width="13.6640625" style="45" customWidth="1"/>
    <col min="4" max="4" width="16.6640625" style="45" customWidth="1"/>
    <col min="5" max="5" width="13.1640625" style="45" customWidth="1"/>
    <col min="6" max="6" width="9" style="45" customWidth="1"/>
    <col min="7" max="7" width="9.83203125" style="45" customWidth="1"/>
    <col min="8" max="8" width="6.33203125" style="45" customWidth="1"/>
    <col min="9" max="9" width="7.1640625" style="45" customWidth="1"/>
    <col min="10" max="10" width="15.33203125" style="45" customWidth="1"/>
    <col min="11" max="11" width="11.5" style="45" customWidth="1"/>
    <col min="12" max="12" width="13.6640625" style="45" customWidth="1"/>
    <col min="13" max="13" width="12.5" style="45" customWidth="1"/>
    <col min="14" max="14" width="16.6640625" style="45" customWidth="1"/>
    <col min="15" max="15" width="13" style="45" customWidth="1"/>
    <col min="16" max="16" width="12.6640625" style="45" customWidth="1"/>
    <col min="17" max="17" width="10.5" style="45" customWidth="1"/>
    <col min="18" max="16384" width="8.83203125" style="45"/>
  </cols>
  <sheetData>
    <row r="1" spans="1:15" x14ac:dyDescent="0.2">
      <c r="A1" s="45" t="s">
        <v>126</v>
      </c>
      <c r="B1" s="45" t="s">
        <v>127</v>
      </c>
      <c r="C1" s="45" t="s">
        <v>128</v>
      </c>
      <c r="D1" s="45" t="s">
        <v>129</v>
      </c>
      <c r="E1" s="45" t="s">
        <v>130</v>
      </c>
      <c r="J1" s="167" t="s">
        <v>156</v>
      </c>
      <c r="K1" s="45" t="s">
        <v>131</v>
      </c>
      <c r="L1" s="45" t="s">
        <v>132</v>
      </c>
      <c r="M1" s="45" t="s">
        <v>133</v>
      </c>
      <c r="N1" s="45" t="s">
        <v>134</v>
      </c>
      <c r="O1" s="45" t="s">
        <v>135</v>
      </c>
    </row>
    <row r="2" spans="1:15" x14ac:dyDescent="0.2">
      <c r="A2" s="45">
        <v>24</v>
      </c>
      <c r="B2" s="46"/>
      <c r="C2" s="46"/>
      <c r="D2" s="47">
        <f t="shared" ref="D2:D11" si="0">ABS(C2-B2)</f>
        <v>0</v>
      </c>
      <c r="E2" s="47">
        <f t="shared" ref="E2:E11" si="1">D2^2</f>
        <v>0</v>
      </c>
      <c r="J2" s="167"/>
      <c r="K2" s="45">
        <v>24</v>
      </c>
      <c r="L2" s="48">
        <f t="shared" ref="L2:M11" si="2">B2/1000</f>
        <v>0</v>
      </c>
      <c r="M2" s="48">
        <f t="shared" si="2"/>
        <v>0</v>
      </c>
      <c r="N2" s="48">
        <f>ABS(M2-L2)</f>
        <v>0</v>
      </c>
      <c r="O2" s="45">
        <f t="shared" ref="O2:O11" si="3">N2^2</f>
        <v>0</v>
      </c>
    </row>
    <row r="3" spans="1:15" x14ac:dyDescent="0.2">
      <c r="A3" s="45">
        <v>23</v>
      </c>
      <c r="B3" s="46"/>
      <c r="C3" s="46"/>
      <c r="D3" s="47">
        <f t="shared" si="0"/>
        <v>0</v>
      </c>
      <c r="E3" s="47">
        <f t="shared" si="1"/>
        <v>0</v>
      </c>
      <c r="J3" s="167"/>
      <c r="K3" s="45">
        <v>23</v>
      </c>
      <c r="L3" s="48">
        <f t="shared" si="2"/>
        <v>0</v>
      </c>
      <c r="M3" s="48">
        <f t="shared" si="2"/>
        <v>0</v>
      </c>
      <c r="N3" s="48">
        <f t="shared" ref="N3:N11" si="4">ABS(M3-L3)</f>
        <v>0</v>
      </c>
      <c r="O3" s="45">
        <f t="shared" si="3"/>
        <v>0</v>
      </c>
    </row>
    <row r="4" spans="1:15" x14ac:dyDescent="0.2">
      <c r="A4" s="45">
        <v>22</v>
      </c>
      <c r="B4" s="46"/>
      <c r="C4" s="46"/>
      <c r="D4" s="47">
        <f t="shared" si="0"/>
        <v>0</v>
      </c>
      <c r="E4" s="47">
        <f t="shared" si="1"/>
        <v>0</v>
      </c>
      <c r="J4" s="167"/>
      <c r="K4" s="45">
        <v>22</v>
      </c>
      <c r="L4" s="48">
        <f t="shared" si="2"/>
        <v>0</v>
      </c>
      <c r="M4" s="48">
        <f t="shared" si="2"/>
        <v>0</v>
      </c>
      <c r="N4" s="48">
        <f t="shared" si="4"/>
        <v>0</v>
      </c>
      <c r="O4" s="45">
        <f t="shared" si="3"/>
        <v>0</v>
      </c>
    </row>
    <row r="5" spans="1:15" x14ac:dyDescent="0.2">
      <c r="A5" s="45">
        <v>21</v>
      </c>
      <c r="B5" s="46"/>
      <c r="C5" s="46"/>
      <c r="D5" s="47">
        <f t="shared" si="0"/>
        <v>0</v>
      </c>
      <c r="E5" s="47">
        <f t="shared" si="1"/>
        <v>0</v>
      </c>
      <c r="J5" s="167"/>
      <c r="K5" s="45">
        <v>21</v>
      </c>
      <c r="L5" s="48">
        <f t="shared" si="2"/>
        <v>0</v>
      </c>
      <c r="M5" s="48">
        <f t="shared" si="2"/>
        <v>0</v>
      </c>
      <c r="N5" s="48">
        <f t="shared" si="4"/>
        <v>0</v>
      </c>
      <c r="O5" s="45">
        <f t="shared" si="3"/>
        <v>0</v>
      </c>
    </row>
    <row r="6" spans="1:15" x14ac:dyDescent="0.2">
      <c r="A6" s="45">
        <v>20</v>
      </c>
      <c r="B6" s="46"/>
      <c r="C6" s="46"/>
      <c r="D6" s="47">
        <f t="shared" si="0"/>
        <v>0</v>
      </c>
      <c r="E6" s="47">
        <f t="shared" si="1"/>
        <v>0</v>
      </c>
      <c r="J6" s="167"/>
      <c r="K6" s="45">
        <v>20</v>
      </c>
      <c r="L6" s="48">
        <f t="shared" si="2"/>
        <v>0</v>
      </c>
      <c r="M6" s="48">
        <f t="shared" si="2"/>
        <v>0</v>
      </c>
      <c r="N6" s="48">
        <f t="shared" si="4"/>
        <v>0</v>
      </c>
      <c r="O6" s="45">
        <f t="shared" si="3"/>
        <v>0</v>
      </c>
    </row>
    <row r="7" spans="1:15" x14ac:dyDescent="0.2">
      <c r="A7" s="45">
        <v>19</v>
      </c>
      <c r="B7" s="46"/>
      <c r="C7" s="46"/>
      <c r="D7" s="47">
        <f t="shared" si="0"/>
        <v>0</v>
      </c>
      <c r="E7" s="47">
        <f t="shared" si="1"/>
        <v>0</v>
      </c>
      <c r="J7" s="167"/>
      <c r="K7" s="45">
        <v>19</v>
      </c>
      <c r="L7" s="48">
        <f t="shared" si="2"/>
        <v>0</v>
      </c>
      <c r="M7" s="48">
        <f t="shared" si="2"/>
        <v>0</v>
      </c>
      <c r="N7" s="48">
        <f t="shared" si="4"/>
        <v>0</v>
      </c>
      <c r="O7" s="45">
        <f t="shared" si="3"/>
        <v>0</v>
      </c>
    </row>
    <row r="8" spans="1:15" x14ac:dyDescent="0.2">
      <c r="A8" s="45">
        <v>18</v>
      </c>
      <c r="B8" s="46"/>
      <c r="C8" s="46"/>
      <c r="D8" s="47">
        <f t="shared" si="0"/>
        <v>0</v>
      </c>
      <c r="E8" s="47">
        <f t="shared" si="1"/>
        <v>0</v>
      </c>
      <c r="J8" s="167"/>
      <c r="K8" s="45">
        <v>18</v>
      </c>
      <c r="L8" s="48">
        <f t="shared" si="2"/>
        <v>0</v>
      </c>
      <c r="M8" s="48">
        <f t="shared" si="2"/>
        <v>0</v>
      </c>
      <c r="N8" s="48">
        <f t="shared" si="4"/>
        <v>0</v>
      </c>
      <c r="O8" s="45">
        <f t="shared" si="3"/>
        <v>0</v>
      </c>
    </row>
    <row r="9" spans="1:15" x14ac:dyDescent="0.2">
      <c r="A9" s="45">
        <v>17</v>
      </c>
      <c r="B9" s="46"/>
      <c r="C9" s="46"/>
      <c r="D9" s="47">
        <f t="shared" si="0"/>
        <v>0</v>
      </c>
      <c r="E9" s="47">
        <f t="shared" si="1"/>
        <v>0</v>
      </c>
      <c r="J9" s="167"/>
      <c r="K9" s="45">
        <v>17</v>
      </c>
      <c r="L9" s="48">
        <f t="shared" si="2"/>
        <v>0</v>
      </c>
      <c r="M9" s="48">
        <f t="shared" si="2"/>
        <v>0</v>
      </c>
      <c r="N9" s="48">
        <f t="shared" si="4"/>
        <v>0</v>
      </c>
      <c r="O9" s="45">
        <f t="shared" si="3"/>
        <v>0</v>
      </c>
    </row>
    <row r="10" spans="1:15" x14ac:dyDescent="0.2">
      <c r="A10" s="45">
        <v>16</v>
      </c>
      <c r="B10" s="46"/>
      <c r="C10" s="46"/>
      <c r="D10" s="47">
        <f t="shared" si="0"/>
        <v>0</v>
      </c>
      <c r="E10" s="47">
        <f t="shared" si="1"/>
        <v>0</v>
      </c>
      <c r="J10" s="167"/>
      <c r="K10" s="45">
        <v>16</v>
      </c>
      <c r="L10" s="48">
        <f t="shared" si="2"/>
        <v>0</v>
      </c>
      <c r="M10" s="48">
        <f t="shared" si="2"/>
        <v>0</v>
      </c>
      <c r="N10" s="48">
        <f t="shared" si="4"/>
        <v>0</v>
      </c>
      <c r="O10" s="45">
        <f t="shared" si="3"/>
        <v>0</v>
      </c>
    </row>
    <row r="11" spans="1:15" x14ac:dyDescent="0.2">
      <c r="A11" s="45">
        <v>15</v>
      </c>
      <c r="B11" s="46"/>
      <c r="C11" s="46"/>
      <c r="D11" s="47">
        <f t="shared" si="0"/>
        <v>0</v>
      </c>
      <c r="E11" s="47">
        <f t="shared" si="1"/>
        <v>0</v>
      </c>
      <c r="J11" s="167"/>
      <c r="K11" s="45">
        <v>15</v>
      </c>
      <c r="L11" s="48">
        <f t="shared" si="2"/>
        <v>0</v>
      </c>
      <c r="M11" s="48">
        <f t="shared" si="2"/>
        <v>0</v>
      </c>
      <c r="N11" s="48">
        <f t="shared" si="4"/>
        <v>0</v>
      </c>
      <c r="O11" s="45">
        <f t="shared" si="3"/>
        <v>0</v>
      </c>
    </row>
    <row r="12" spans="1:15" x14ac:dyDescent="0.2">
      <c r="J12" s="167"/>
    </row>
    <row r="13" spans="1:15" x14ac:dyDescent="0.2">
      <c r="A13" s="45" t="s">
        <v>136</v>
      </c>
      <c r="B13" s="45" t="s">
        <v>137</v>
      </c>
      <c r="C13" s="45" t="s">
        <v>128</v>
      </c>
      <c r="D13" s="45" t="s">
        <v>138</v>
      </c>
      <c r="E13" s="45" t="s">
        <v>139</v>
      </c>
      <c r="J13" s="167"/>
      <c r="K13" s="45" t="s">
        <v>140</v>
      </c>
      <c r="L13" s="45" t="s">
        <v>132</v>
      </c>
      <c r="M13" s="45" t="s">
        <v>133</v>
      </c>
      <c r="N13" s="45" t="s">
        <v>134</v>
      </c>
      <c r="O13" s="45" t="s">
        <v>141</v>
      </c>
    </row>
    <row r="14" spans="1:15" x14ac:dyDescent="0.2">
      <c r="A14" s="45">
        <v>14</v>
      </c>
      <c r="B14" s="46"/>
      <c r="C14" s="46"/>
      <c r="D14" s="47">
        <f t="shared" ref="D14:D23" si="5">ABS(C14-B14)</f>
        <v>0</v>
      </c>
      <c r="E14" s="47">
        <f t="shared" ref="E14:E23" si="6">D14^2</f>
        <v>0</v>
      </c>
      <c r="J14" s="167"/>
      <c r="K14" s="45">
        <v>14</v>
      </c>
      <c r="L14" s="49">
        <f t="shared" ref="L14:M23" si="7">B14/1000</f>
        <v>0</v>
      </c>
      <c r="M14" s="49">
        <f t="shared" si="7"/>
        <v>0</v>
      </c>
      <c r="N14" s="45">
        <f t="shared" ref="N14:N23" si="8">ABS(M14-L14)</f>
        <v>0</v>
      </c>
      <c r="O14" s="45">
        <f t="shared" ref="O14:O23" si="9">N14^2</f>
        <v>0</v>
      </c>
    </row>
    <row r="15" spans="1:15" x14ac:dyDescent="0.2">
      <c r="A15" s="45">
        <v>13</v>
      </c>
      <c r="B15" s="46"/>
      <c r="C15" s="46"/>
      <c r="D15" s="47">
        <f t="shared" si="5"/>
        <v>0</v>
      </c>
      <c r="E15" s="47">
        <f t="shared" si="6"/>
        <v>0</v>
      </c>
      <c r="J15" s="167"/>
      <c r="K15" s="45">
        <v>13</v>
      </c>
      <c r="L15" s="49">
        <f t="shared" si="7"/>
        <v>0</v>
      </c>
      <c r="M15" s="49">
        <f t="shared" si="7"/>
        <v>0</v>
      </c>
      <c r="N15" s="45">
        <f t="shared" si="8"/>
        <v>0</v>
      </c>
      <c r="O15" s="45">
        <f t="shared" si="9"/>
        <v>0</v>
      </c>
    </row>
    <row r="16" spans="1:15" x14ac:dyDescent="0.2">
      <c r="A16" s="45">
        <v>12</v>
      </c>
      <c r="B16" s="46"/>
      <c r="C16" s="46"/>
      <c r="D16" s="47">
        <f t="shared" si="5"/>
        <v>0</v>
      </c>
      <c r="E16" s="47">
        <f t="shared" si="6"/>
        <v>0</v>
      </c>
      <c r="J16" s="167"/>
      <c r="K16" s="45">
        <v>12</v>
      </c>
      <c r="L16" s="49">
        <f t="shared" si="7"/>
        <v>0</v>
      </c>
      <c r="M16" s="49">
        <f t="shared" si="7"/>
        <v>0</v>
      </c>
      <c r="N16" s="45">
        <f t="shared" si="8"/>
        <v>0</v>
      </c>
      <c r="O16" s="45">
        <f t="shared" si="9"/>
        <v>0</v>
      </c>
    </row>
    <row r="17" spans="1:15" x14ac:dyDescent="0.2">
      <c r="A17" s="45">
        <v>11</v>
      </c>
      <c r="B17" s="46"/>
      <c r="C17" s="46"/>
      <c r="D17" s="47">
        <f t="shared" si="5"/>
        <v>0</v>
      </c>
      <c r="E17" s="47">
        <f t="shared" si="6"/>
        <v>0</v>
      </c>
      <c r="J17" s="167"/>
      <c r="K17" s="45">
        <v>11</v>
      </c>
      <c r="L17" s="49">
        <f t="shared" si="7"/>
        <v>0</v>
      </c>
      <c r="M17" s="49">
        <f t="shared" si="7"/>
        <v>0</v>
      </c>
      <c r="N17" s="45">
        <f t="shared" si="8"/>
        <v>0</v>
      </c>
      <c r="O17" s="45">
        <f t="shared" si="9"/>
        <v>0</v>
      </c>
    </row>
    <row r="18" spans="1:15" x14ac:dyDescent="0.2">
      <c r="A18" s="45">
        <v>10</v>
      </c>
      <c r="B18" s="46"/>
      <c r="C18" s="46"/>
      <c r="D18" s="47">
        <f t="shared" si="5"/>
        <v>0</v>
      </c>
      <c r="E18" s="47">
        <f t="shared" si="6"/>
        <v>0</v>
      </c>
      <c r="J18" s="167"/>
      <c r="K18" s="45">
        <v>10</v>
      </c>
      <c r="L18" s="49">
        <f t="shared" si="7"/>
        <v>0</v>
      </c>
      <c r="M18" s="49">
        <f t="shared" si="7"/>
        <v>0</v>
      </c>
      <c r="N18" s="45">
        <f t="shared" si="8"/>
        <v>0</v>
      </c>
      <c r="O18" s="45">
        <f t="shared" si="9"/>
        <v>0</v>
      </c>
    </row>
    <row r="19" spans="1:15" x14ac:dyDescent="0.2">
      <c r="A19" s="45">
        <v>9</v>
      </c>
      <c r="B19" s="46"/>
      <c r="C19" s="46"/>
      <c r="D19" s="47">
        <f t="shared" si="5"/>
        <v>0</v>
      </c>
      <c r="E19" s="47">
        <f t="shared" si="6"/>
        <v>0</v>
      </c>
      <c r="J19" s="167"/>
      <c r="K19" s="45">
        <v>9</v>
      </c>
      <c r="L19" s="49">
        <f t="shared" si="7"/>
        <v>0</v>
      </c>
      <c r="M19" s="49">
        <f t="shared" si="7"/>
        <v>0</v>
      </c>
      <c r="N19" s="45">
        <f t="shared" si="8"/>
        <v>0</v>
      </c>
      <c r="O19" s="45">
        <f t="shared" si="9"/>
        <v>0</v>
      </c>
    </row>
    <row r="20" spans="1:15" x14ac:dyDescent="0.2">
      <c r="A20" s="45">
        <v>8</v>
      </c>
      <c r="B20" s="46"/>
      <c r="C20" s="46"/>
      <c r="D20" s="47">
        <f t="shared" si="5"/>
        <v>0</v>
      </c>
      <c r="E20" s="47">
        <f t="shared" si="6"/>
        <v>0</v>
      </c>
      <c r="J20" s="167"/>
      <c r="K20" s="45">
        <v>8</v>
      </c>
      <c r="L20" s="49">
        <f t="shared" si="7"/>
        <v>0</v>
      </c>
      <c r="M20" s="49">
        <f t="shared" si="7"/>
        <v>0</v>
      </c>
      <c r="N20" s="45">
        <f t="shared" si="8"/>
        <v>0</v>
      </c>
      <c r="O20" s="45">
        <f t="shared" si="9"/>
        <v>0</v>
      </c>
    </row>
    <row r="21" spans="1:15" x14ac:dyDescent="0.2">
      <c r="A21" s="45">
        <v>7</v>
      </c>
      <c r="B21" s="46"/>
      <c r="C21" s="46"/>
      <c r="D21" s="47">
        <f t="shared" si="5"/>
        <v>0</v>
      </c>
      <c r="E21" s="47">
        <f t="shared" si="6"/>
        <v>0</v>
      </c>
      <c r="J21" s="167"/>
      <c r="K21" s="45">
        <v>7</v>
      </c>
      <c r="L21" s="49">
        <f t="shared" si="7"/>
        <v>0</v>
      </c>
      <c r="M21" s="49">
        <f t="shared" si="7"/>
        <v>0</v>
      </c>
      <c r="N21" s="45">
        <f t="shared" si="8"/>
        <v>0</v>
      </c>
      <c r="O21" s="45">
        <f t="shared" si="9"/>
        <v>0</v>
      </c>
    </row>
    <row r="22" spans="1:15" x14ac:dyDescent="0.2">
      <c r="A22" s="45">
        <v>6</v>
      </c>
      <c r="B22" s="46"/>
      <c r="C22" s="46"/>
      <c r="D22" s="47">
        <f t="shared" si="5"/>
        <v>0</v>
      </c>
      <c r="E22" s="47">
        <f t="shared" si="6"/>
        <v>0</v>
      </c>
      <c r="J22" s="167"/>
      <c r="K22" s="45">
        <v>6</v>
      </c>
      <c r="L22" s="49">
        <f t="shared" si="7"/>
        <v>0</v>
      </c>
      <c r="M22" s="49">
        <f t="shared" si="7"/>
        <v>0</v>
      </c>
      <c r="N22" s="45">
        <f t="shared" si="8"/>
        <v>0</v>
      </c>
      <c r="O22" s="45">
        <f t="shared" si="9"/>
        <v>0</v>
      </c>
    </row>
    <row r="23" spans="1:15" x14ac:dyDescent="0.2">
      <c r="A23" s="45">
        <v>5</v>
      </c>
      <c r="B23" s="46"/>
      <c r="C23" s="46"/>
      <c r="D23" s="47">
        <f t="shared" si="5"/>
        <v>0</v>
      </c>
      <c r="E23" s="47">
        <f t="shared" si="6"/>
        <v>0</v>
      </c>
      <c r="J23" s="167"/>
      <c r="K23" s="45">
        <v>5</v>
      </c>
      <c r="L23" s="49">
        <f t="shared" si="7"/>
        <v>0</v>
      </c>
      <c r="M23" s="49">
        <f t="shared" si="7"/>
        <v>0</v>
      </c>
      <c r="N23" s="45">
        <f t="shared" si="8"/>
        <v>0</v>
      </c>
      <c r="O23" s="45">
        <f t="shared" si="9"/>
        <v>0</v>
      </c>
    </row>
    <row r="24" spans="1:15" x14ac:dyDescent="0.2">
      <c r="J24" s="167"/>
    </row>
    <row r="25" spans="1:15" x14ac:dyDescent="0.2">
      <c r="A25" s="50" t="s">
        <v>142</v>
      </c>
      <c r="B25" s="50" t="s">
        <v>143</v>
      </c>
      <c r="C25" s="50" t="s">
        <v>144</v>
      </c>
      <c r="D25" s="45" t="s">
        <v>145</v>
      </c>
      <c r="E25" s="45" t="s">
        <v>146</v>
      </c>
      <c r="F25" s="45" t="s">
        <v>147</v>
      </c>
      <c r="G25" s="51" t="s">
        <v>148</v>
      </c>
      <c r="H25" s="45" t="s">
        <v>149</v>
      </c>
      <c r="I25" s="51" t="s">
        <v>150</v>
      </c>
      <c r="J25" s="167"/>
      <c r="K25" s="45" t="s">
        <v>151</v>
      </c>
      <c r="L25" s="45" t="s">
        <v>152</v>
      </c>
      <c r="M25" s="45" t="s">
        <v>153</v>
      </c>
      <c r="N25" s="45" t="s">
        <v>154</v>
      </c>
      <c r="O25" s="45" t="s">
        <v>155</v>
      </c>
    </row>
    <row r="26" spans="1:15" x14ac:dyDescent="0.2">
      <c r="A26" s="47">
        <f t="shared" ref="A26:A35" si="10">E2</f>
        <v>0</v>
      </c>
      <c r="B26" s="47">
        <f t="shared" ref="B26:B35" si="11">E14</f>
        <v>0</v>
      </c>
      <c r="C26" s="47">
        <f t="shared" ref="C26:C35" si="12">E2-E14</f>
        <v>0</v>
      </c>
      <c r="D26" s="167">
        <v>589.29999999999995</v>
      </c>
      <c r="E26" s="47">
        <f t="shared" ref="E26:E35" si="13">M26</f>
        <v>0</v>
      </c>
      <c r="F26" s="168">
        <f>AVERAGE(E26:E35)</f>
        <v>0</v>
      </c>
      <c r="G26" s="47">
        <f t="shared" ref="G26:G35" si="14">ABS(E26-$F$26)</f>
        <v>0</v>
      </c>
      <c r="H26" s="166">
        <f>AVERAGE(G26:G35)</f>
        <v>0</v>
      </c>
      <c r="I26" s="52" t="e">
        <f t="shared" ref="I26:I35" si="15">G26/$F$26</f>
        <v>#DIV/0!</v>
      </c>
      <c r="J26" s="167"/>
      <c r="K26" s="169">
        <v>5.8930000000000002E-7</v>
      </c>
      <c r="L26" s="45">
        <f t="shared" ref="L26:L35" si="16">O2-O14</f>
        <v>0</v>
      </c>
      <c r="M26" s="47">
        <f t="shared" ref="M26:M35" si="17">L26/(4*(K2-K14)*$K$26)</f>
        <v>0</v>
      </c>
      <c r="N26" s="166">
        <f>AVERAGE(M26:M35)</f>
        <v>0</v>
      </c>
      <c r="O26" s="45">
        <f t="shared" ref="O26:O35" si="18">ABS(M26-$N$26)</f>
        <v>0</v>
      </c>
    </row>
    <row r="27" spans="1:15" x14ac:dyDescent="0.2">
      <c r="A27" s="47">
        <f t="shared" si="10"/>
        <v>0</v>
      </c>
      <c r="B27" s="47">
        <f t="shared" si="11"/>
        <v>0</v>
      </c>
      <c r="C27" s="47">
        <f t="shared" si="12"/>
        <v>0</v>
      </c>
      <c r="D27" s="167"/>
      <c r="E27" s="47">
        <f t="shared" si="13"/>
        <v>0</v>
      </c>
      <c r="F27" s="168"/>
      <c r="G27" s="47">
        <f t="shared" si="14"/>
        <v>0</v>
      </c>
      <c r="H27" s="166"/>
      <c r="I27" s="52" t="e">
        <f t="shared" si="15"/>
        <v>#DIV/0!</v>
      </c>
      <c r="J27" s="167"/>
      <c r="K27" s="167"/>
      <c r="L27" s="45">
        <f t="shared" si="16"/>
        <v>0</v>
      </c>
      <c r="M27" s="47">
        <f t="shared" si="17"/>
        <v>0</v>
      </c>
      <c r="N27" s="166"/>
      <c r="O27" s="45">
        <f t="shared" si="18"/>
        <v>0</v>
      </c>
    </row>
    <row r="28" spans="1:15" x14ac:dyDescent="0.2">
      <c r="A28" s="47">
        <f t="shared" si="10"/>
        <v>0</v>
      </c>
      <c r="B28" s="47">
        <f t="shared" si="11"/>
        <v>0</v>
      </c>
      <c r="C28" s="47">
        <f t="shared" si="12"/>
        <v>0</v>
      </c>
      <c r="D28" s="167"/>
      <c r="E28" s="47">
        <f t="shared" si="13"/>
        <v>0</v>
      </c>
      <c r="F28" s="168"/>
      <c r="G28" s="47">
        <f t="shared" si="14"/>
        <v>0</v>
      </c>
      <c r="H28" s="166"/>
      <c r="I28" s="52" t="e">
        <f t="shared" si="15"/>
        <v>#DIV/0!</v>
      </c>
      <c r="J28" s="167"/>
      <c r="K28" s="167"/>
      <c r="L28" s="45">
        <f t="shared" si="16"/>
        <v>0</v>
      </c>
      <c r="M28" s="47">
        <f t="shared" si="17"/>
        <v>0</v>
      </c>
      <c r="N28" s="166"/>
      <c r="O28" s="45">
        <f t="shared" si="18"/>
        <v>0</v>
      </c>
    </row>
    <row r="29" spans="1:15" x14ac:dyDescent="0.2">
      <c r="A29" s="47">
        <f t="shared" si="10"/>
        <v>0</v>
      </c>
      <c r="B29" s="47">
        <f t="shared" si="11"/>
        <v>0</v>
      </c>
      <c r="C29" s="47">
        <f t="shared" si="12"/>
        <v>0</v>
      </c>
      <c r="D29" s="167"/>
      <c r="E29" s="47">
        <f t="shared" si="13"/>
        <v>0</v>
      </c>
      <c r="F29" s="168"/>
      <c r="G29" s="47">
        <f t="shared" si="14"/>
        <v>0</v>
      </c>
      <c r="H29" s="166"/>
      <c r="I29" s="52" t="e">
        <f t="shared" si="15"/>
        <v>#DIV/0!</v>
      </c>
      <c r="J29" s="167"/>
      <c r="K29" s="167"/>
      <c r="L29" s="45">
        <f t="shared" si="16"/>
        <v>0</v>
      </c>
      <c r="M29" s="47">
        <f t="shared" si="17"/>
        <v>0</v>
      </c>
      <c r="N29" s="166"/>
      <c r="O29" s="45">
        <f t="shared" si="18"/>
        <v>0</v>
      </c>
    </row>
    <row r="30" spans="1:15" x14ac:dyDescent="0.2">
      <c r="A30" s="47">
        <f t="shared" si="10"/>
        <v>0</v>
      </c>
      <c r="B30" s="47">
        <f t="shared" si="11"/>
        <v>0</v>
      </c>
      <c r="C30" s="47">
        <f t="shared" si="12"/>
        <v>0</v>
      </c>
      <c r="D30" s="167"/>
      <c r="E30" s="47">
        <f t="shared" si="13"/>
        <v>0</v>
      </c>
      <c r="F30" s="168"/>
      <c r="G30" s="47">
        <f t="shared" si="14"/>
        <v>0</v>
      </c>
      <c r="H30" s="166"/>
      <c r="I30" s="52" t="e">
        <f t="shared" si="15"/>
        <v>#DIV/0!</v>
      </c>
      <c r="J30" s="167"/>
      <c r="K30" s="167"/>
      <c r="L30" s="45">
        <f t="shared" si="16"/>
        <v>0</v>
      </c>
      <c r="M30" s="47">
        <f t="shared" si="17"/>
        <v>0</v>
      </c>
      <c r="N30" s="166"/>
      <c r="O30" s="45">
        <f t="shared" si="18"/>
        <v>0</v>
      </c>
    </row>
    <row r="31" spans="1:15" x14ac:dyDescent="0.2">
      <c r="A31" s="47">
        <f t="shared" si="10"/>
        <v>0</v>
      </c>
      <c r="B31" s="47">
        <f t="shared" si="11"/>
        <v>0</v>
      </c>
      <c r="C31" s="47">
        <f t="shared" si="12"/>
        <v>0</v>
      </c>
      <c r="D31" s="167"/>
      <c r="E31" s="47">
        <f t="shared" si="13"/>
        <v>0</v>
      </c>
      <c r="F31" s="168"/>
      <c r="G31" s="47">
        <f t="shared" si="14"/>
        <v>0</v>
      </c>
      <c r="H31" s="166"/>
      <c r="I31" s="52" t="e">
        <f t="shared" si="15"/>
        <v>#DIV/0!</v>
      </c>
      <c r="J31" s="167"/>
      <c r="K31" s="167"/>
      <c r="L31" s="45">
        <f t="shared" si="16"/>
        <v>0</v>
      </c>
      <c r="M31" s="47">
        <f t="shared" si="17"/>
        <v>0</v>
      </c>
      <c r="N31" s="166"/>
      <c r="O31" s="45">
        <f t="shared" si="18"/>
        <v>0</v>
      </c>
    </row>
    <row r="32" spans="1:15" x14ac:dyDescent="0.2">
      <c r="A32" s="47">
        <f t="shared" si="10"/>
        <v>0</v>
      </c>
      <c r="B32" s="47">
        <f t="shared" si="11"/>
        <v>0</v>
      </c>
      <c r="C32" s="47">
        <f t="shared" si="12"/>
        <v>0</v>
      </c>
      <c r="D32" s="167"/>
      <c r="E32" s="47">
        <f t="shared" si="13"/>
        <v>0</v>
      </c>
      <c r="F32" s="168"/>
      <c r="G32" s="47">
        <f t="shared" si="14"/>
        <v>0</v>
      </c>
      <c r="H32" s="166"/>
      <c r="I32" s="52" t="e">
        <f t="shared" si="15"/>
        <v>#DIV/0!</v>
      </c>
      <c r="J32" s="167"/>
      <c r="K32" s="167"/>
      <c r="L32" s="45">
        <f t="shared" si="16"/>
        <v>0</v>
      </c>
      <c r="M32" s="47">
        <f t="shared" si="17"/>
        <v>0</v>
      </c>
      <c r="N32" s="166"/>
      <c r="O32" s="45">
        <f t="shared" si="18"/>
        <v>0</v>
      </c>
    </row>
    <row r="33" spans="1:15" x14ac:dyDescent="0.2">
      <c r="A33" s="47">
        <f t="shared" si="10"/>
        <v>0</v>
      </c>
      <c r="B33" s="47">
        <f t="shared" si="11"/>
        <v>0</v>
      </c>
      <c r="C33" s="47">
        <f t="shared" si="12"/>
        <v>0</v>
      </c>
      <c r="D33" s="167"/>
      <c r="E33" s="47">
        <f t="shared" si="13"/>
        <v>0</v>
      </c>
      <c r="F33" s="168"/>
      <c r="G33" s="47">
        <f t="shared" si="14"/>
        <v>0</v>
      </c>
      <c r="H33" s="166"/>
      <c r="I33" s="52" t="e">
        <f t="shared" si="15"/>
        <v>#DIV/0!</v>
      </c>
      <c r="J33" s="167"/>
      <c r="K33" s="167"/>
      <c r="L33" s="45">
        <f t="shared" si="16"/>
        <v>0</v>
      </c>
      <c r="M33" s="47">
        <f t="shared" si="17"/>
        <v>0</v>
      </c>
      <c r="N33" s="166"/>
      <c r="O33" s="45">
        <f t="shared" si="18"/>
        <v>0</v>
      </c>
    </row>
    <row r="34" spans="1:15" x14ac:dyDescent="0.2">
      <c r="A34" s="47">
        <f t="shared" si="10"/>
        <v>0</v>
      </c>
      <c r="B34" s="47">
        <f t="shared" si="11"/>
        <v>0</v>
      </c>
      <c r="C34" s="47">
        <f t="shared" si="12"/>
        <v>0</v>
      </c>
      <c r="D34" s="167"/>
      <c r="E34" s="47">
        <f t="shared" si="13"/>
        <v>0</v>
      </c>
      <c r="F34" s="168"/>
      <c r="G34" s="47">
        <f t="shared" si="14"/>
        <v>0</v>
      </c>
      <c r="H34" s="166"/>
      <c r="I34" s="52" t="e">
        <f t="shared" si="15"/>
        <v>#DIV/0!</v>
      </c>
      <c r="J34" s="167"/>
      <c r="K34" s="167"/>
      <c r="L34" s="45">
        <f t="shared" si="16"/>
        <v>0</v>
      </c>
      <c r="M34" s="47">
        <f t="shared" si="17"/>
        <v>0</v>
      </c>
      <c r="N34" s="166"/>
      <c r="O34" s="45">
        <f t="shared" si="18"/>
        <v>0</v>
      </c>
    </row>
    <row r="35" spans="1:15" x14ac:dyDescent="0.2">
      <c r="A35" s="47">
        <f t="shared" si="10"/>
        <v>0</v>
      </c>
      <c r="B35" s="47">
        <f t="shared" si="11"/>
        <v>0</v>
      </c>
      <c r="C35" s="47">
        <f t="shared" si="12"/>
        <v>0</v>
      </c>
      <c r="D35" s="167"/>
      <c r="E35" s="47">
        <f t="shared" si="13"/>
        <v>0</v>
      </c>
      <c r="F35" s="168"/>
      <c r="G35" s="47">
        <f t="shared" si="14"/>
        <v>0</v>
      </c>
      <c r="H35" s="166"/>
      <c r="I35" s="52" t="e">
        <f t="shared" si="15"/>
        <v>#DIV/0!</v>
      </c>
      <c r="J35" s="167"/>
      <c r="K35" s="167"/>
      <c r="L35" s="45">
        <f t="shared" si="16"/>
        <v>0</v>
      </c>
      <c r="M35" s="47">
        <f t="shared" si="17"/>
        <v>0</v>
      </c>
      <c r="N35" s="166"/>
      <c r="O35" s="45">
        <f t="shared" si="18"/>
        <v>0</v>
      </c>
    </row>
    <row r="36" spans="1:15" x14ac:dyDescent="0.2">
      <c r="B36" s="47"/>
      <c r="C36" s="47"/>
      <c r="H36" s="53" t="e">
        <f>H26/F26</f>
        <v>#DIV/0!</v>
      </c>
    </row>
    <row r="37" spans="1:15" x14ac:dyDescent="0.2">
      <c r="B37" s="47"/>
      <c r="C37" s="47"/>
    </row>
    <row r="38" spans="1:15" x14ac:dyDescent="0.2">
      <c r="B38" s="47"/>
      <c r="C38" s="47"/>
    </row>
    <row r="39" spans="1:15" x14ac:dyDescent="0.2">
      <c r="B39" s="47"/>
      <c r="C39" s="47"/>
    </row>
    <row r="40" spans="1:15" x14ac:dyDescent="0.2">
      <c r="B40" s="47"/>
      <c r="C40" s="47"/>
    </row>
    <row r="41" spans="1:15" x14ac:dyDescent="0.2">
      <c r="B41" s="47"/>
      <c r="C41" s="47"/>
    </row>
    <row r="42" spans="1:15" x14ac:dyDescent="0.2">
      <c r="B42" s="47"/>
      <c r="C42" s="47"/>
    </row>
  </sheetData>
  <mergeCells count="6">
    <mergeCell ref="N26:N35"/>
    <mergeCell ref="J1:J35"/>
    <mergeCell ref="D26:D35"/>
    <mergeCell ref="F26:F35"/>
    <mergeCell ref="H26:H35"/>
    <mergeCell ref="K26:K35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I37"/>
  <sheetViews>
    <sheetView zoomScale="70" zoomScaleNormal="70" zoomScalePageLayoutView="70" workbookViewId="0">
      <selection activeCell="C2" sqref="C2:D9"/>
    </sheetView>
  </sheetViews>
  <sheetFormatPr baseColWidth="10" defaultColWidth="11.5" defaultRowHeight="16" x14ac:dyDescent="0.2"/>
  <cols>
    <col min="1" max="3" width="11.5" style="55"/>
    <col min="4" max="4" width="10.6640625" style="55" customWidth="1"/>
    <col min="5" max="5" width="16" style="55" customWidth="1"/>
    <col min="6" max="16384" width="11.5" style="55"/>
  </cols>
  <sheetData>
    <row r="1" spans="1:9" x14ac:dyDescent="0.2">
      <c r="A1" s="54" t="s">
        <v>157</v>
      </c>
      <c r="B1" s="54" t="s">
        <v>158</v>
      </c>
      <c r="C1" s="54" t="s">
        <v>159</v>
      </c>
      <c r="D1" s="54" t="s">
        <v>160</v>
      </c>
      <c r="E1" s="54" t="s">
        <v>161</v>
      </c>
    </row>
    <row r="2" spans="1:9" x14ac:dyDescent="0.2">
      <c r="A2" s="54">
        <v>0</v>
      </c>
      <c r="B2" s="56">
        <f t="shared" ref="B2:B9" si="0">A2*10</f>
        <v>0</v>
      </c>
      <c r="C2" s="61"/>
      <c r="D2" s="61"/>
      <c r="E2" s="56" t="e">
        <f>AVERAGE(C2:D2)</f>
        <v>#DIV/0!</v>
      </c>
    </row>
    <row r="3" spans="1:9" x14ac:dyDescent="0.2">
      <c r="A3" s="54">
        <v>0.5</v>
      </c>
      <c r="B3" s="56">
        <f t="shared" si="0"/>
        <v>5</v>
      </c>
      <c r="C3" s="61"/>
      <c r="D3" s="61"/>
      <c r="E3" s="56" t="e">
        <f t="shared" ref="E3:E9" si="1">AVERAGE(C3:D3)</f>
        <v>#DIV/0!</v>
      </c>
    </row>
    <row r="4" spans="1:9" x14ac:dyDescent="0.2">
      <c r="A4" s="54">
        <v>1</v>
      </c>
      <c r="B4" s="56">
        <f t="shared" si="0"/>
        <v>10</v>
      </c>
      <c r="C4" s="61"/>
      <c r="D4" s="61"/>
      <c r="E4" s="56" t="e">
        <f t="shared" si="1"/>
        <v>#DIV/0!</v>
      </c>
    </row>
    <row r="5" spans="1:9" x14ac:dyDescent="0.2">
      <c r="A5" s="54">
        <v>1.5</v>
      </c>
      <c r="B5" s="56">
        <f t="shared" si="0"/>
        <v>15</v>
      </c>
      <c r="C5" s="61"/>
      <c r="D5" s="61"/>
      <c r="E5" s="56" t="e">
        <f t="shared" si="1"/>
        <v>#DIV/0!</v>
      </c>
    </row>
    <row r="6" spans="1:9" x14ac:dyDescent="0.2">
      <c r="A6" s="54">
        <v>2</v>
      </c>
      <c r="B6" s="56">
        <f t="shared" si="0"/>
        <v>20</v>
      </c>
      <c r="C6" s="61"/>
      <c r="D6" s="61"/>
      <c r="E6" s="56" t="e">
        <f t="shared" si="1"/>
        <v>#DIV/0!</v>
      </c>
    </row>
    <row r="7" spans="1:9" x14ac:dyDescent="0.2">
      <c r="A7" s="54">
        <v>2.5</v>
      </c>
      <c r="B7" s="56">
        <f t="shared" si="0"/>
        <v>25</v>
      </c>
      <c r="C7" s="61"/>
      <c r="D7" s="61"/>
      <c r="E7" s="56" t="e">
        <f t="shared" si="1"/>
        <v>#DIV/0!</v>
      </c>
    </row>
    <row r="8" spans="1:9" x14ac:dyDescent="0.2">
      <c r="A8" s="54">
        <v>3</v>
      </c>
      <c r="B8" s="56">
        <f t="shared" si="0"/>
        <v>30</v>
      </c>
      <c r="C8" s="61"/>
      <c r="D8" s="61"/>
      <c r="E8" s="56" t="e">
        <f t="shared" si="1"/>
        <v>#DIV/0!</v>
      </c>
    </row>
    <row r="9" spans="1:9" x14ac:dyDescent="0.2">
      <c r="A9" s="54">
        <v>3.5</v>
      </c>
      <c r="B9" s="56">
        <f t="shared" si="0"/>
        <v>35</v>
      </c>
      <c r="C9" s="61"/>
      <c r="D9" s="61"/>
      <c r="E9" s="56" t="e">
        <f t="shared" si="1"/>
        <v>#DIV/0!</v>
      </c>
    </row>
    <row r="15" spans="1:9" x14ac:dyDescent="0.2">
      <c r="A15" s="173" t="s">
        <v>162</v>
      </c>
      <c r="B15" s="173"/>
      <c r="C15" s="173"/>
      <c r="D15" s="173"/>
      <c r="E15" s="173"/>
      <c r="F15" s="173"/>
      <c r="G15" s="173"/>
      <c r="H15" s="173"/>
      <c r="I15" s="173"/>
    </row>
    <row r="16" spans="1:9" x14ac:dyDescent="0.2">
      <c r="A16" s="54" t="s">
        <v>157</v>
      </c>
      <c r="B16" s="54">
        <v>0</v>
      </c>
      <c r="C16" s="54">
        <v>0.5</v>
      </c>
      <c r="D16" s="54">
        <v>1</v>
      </c>
      <c r="E16" s="54">
        <v>1.5</v>
      </c>
      <c r="F16" s="54">
        <v>2</v>
      </c>
      <c r="G16" s="54">
        <v>2.5</v>
      </c>
      <c r="H16" s="54">
        <v>3</v>
      </c>
      <c r="I16" s="54">
        <v>3.5</v>
      </c>
    </row>
    <row r="17" spans="1:9" x14ac:dyDescent="0.2">
      <c r="A17" s="54" t="s">
        <v>163</v>
      </c>
      <c r="B17" s="56">
        <v>0</v>
      </c>
      <c r="C17" s="56">
        <v>5</v>
      </c>
      <c r="D17" s="56">
        <v>10</v>
      </c>
      <c r="E17" s="56">
        <v>15</v>
      </c>
      <c r="F17" s="56">
        <v>20</v>
      </c>
      <c r="G17" s="56">
        <v>25</v>
      </c>
      <c r="H17" s="56">
        <v>30</v>
      </c>
      <c r="I17" s="56">
        <v>35</v>
      </c>
    </row>
    <row r="18" spans="1:9" x14ac:dyDescent="0.2">
      <c r="A18" s="54" t="s">
        <v>159</v>
      </c>
      <c r="B18" s="61"/>
      <c r="C18" s="61"/>
      <c r="D18" s="61"/>
      <c r="E18" s="61"/>
      <c r="F18" s="61"/>
      <c r="G18" s="61"/>
      <c r="H18" s="61"/>
      <c r="I18" s="61"/>
    </row>
    <row r="19" spans="1:9" x14ac:dyDescent="0.2">
      <c r="A19" s="54" t="s">
        <v>160</v>
      </c>
      <c r="B19" s="61"/>
      <c r="C19" s="61"/>
      <c r="D19" s="61"/>
      <c r="E19" s="61"/>
      <c r="F19" s="61"/>
      <c r="G19" s="61"/>
      <c r="H19" s="61"/>
      <c r="I19" s="61"/>
    </row>
    <row r="20" spans="1:9" x14ac:dyDescent="0.2">
      <c r="A20" s="54" t="s">
        <v>161</v>
      </c>
      <c r="B20" s="56" t="e">
        <f t="shared" ref="B20:I20" si="2">AVERAGE(B18:B19)</f>
        <v>#DIV/0!</v>
      </c>
      <c r="C20" s="56" t="e">
        <f t="shared" si="2"/>
        <v>#DIV/0!</v>
      </c>
      <c r="D20" s="56" t="e">
        <f t="shared" si="2"/>
        <v>#DIV/0!</v>
      </c>
      <c r="E20" s="56" t="e">
        <f t="shared" si="2"/>
        <v>#DIV/0!</v>
      </c>
      <c r="F20" s="56" t="e">
        <f t="shared" si="2"/>
        <v>#DIV/0!</v>
      </c>
      <c r="G20" s="56" t="e">
        <f t="shared" si="2"/>
        <v>#DIV/0!</v>
      </c>
      <c r="H20" s="56" t="e">
        <f t="shared" si="2"/>
        <v>#DIV/0!</v>
      </c>
      <c r="I20" s="56" t="e">
        <f t="shared" si="2"/>
        <v>#DIV/0!</v>
      </c>
    </row>
    <row r="23" spans="1:9" x14ac:dyDescent="0.2">
      <c r="A23" s="170" t="s">
        <v>164</v>
      </c>
      <c r="B23" s="170"/>
      <c r="C23" s="170"/>
      <c r="D23" s="170"/>
      <c r="E23" s="170"/>
      <c r="F23" s="170"/>
      <c r="G23" s="170"/>
      <c r="H23" s="57"/>
      <c r="I23" s="57"/>
    </row>
    <row r="24" spans="1:9" x14ac:dyDescent="0.2">
      <c r="A24" s="54" t="s">
        <v>165</v>
      </c>
      <c r="B24" s="54" t="s">
        <v>166</v>
      </c>
      <c r="C24" s="54" t="s">
        <v>167</v>
      </c>
      <c r="D24" s="54" t="s">
        <v>168</v>
      </c>
      <c r="E24" s="54" t="s">
        <v>169</v>
      </c>
      <c r="F24" s="54" t="s">
        <v>170</v>
      </c>
      <c r="G24" s="55" t="s">
        <v>12</v>
      </c>
    </row>
    <row r="25" spans="1:9" x14ac:dyDescent="0.2">
      <c r="A25" s="54">
        <v>1</v>
      </c>
      <c r="B25" s="61"/>
      <c r="C25" s="61"/>
      <c r="D25" s="171">
        <v>33.1</v>
      </c>
      <c r="E25" s="172">
        <v>34.96</v>
      </c>
      <c r="F25" s="174"/>
      <c r="G25" s="58" t="e">
        <f>(ABS(B25-C25)/1000)/($F$25*PI()*(($D$25+$E$25)/1000))</f>
        <v>#DIV/0!</v>
      </c>
    </row>
    <row r="26" spans="1:9" x14ac:dyDescent="0.2">
      <c r="A26" s="54">
        <v>2</v>
      </c>
      <c r="B26" s="61"/>
      <c r="C26" s="61"/>
      <c r="D26" s="171"/>
      <c r="E26" s="172"/>
      <c r="F26" s="174"/>
      <c r="G26" s="58" t="e">
        <f>(ABS(B26-C26)/1000)/($F$25*PI()*(($D$25+$E$25)/1000))</f>
        <v>#DIV/0!</v>
      </c>
    </row>
    <row r="27" spans="1:9" x14ac:dyDescent="0.2">
      <c r="A27" s="54">
        <v>3</v>
      </c>
      <c r="B27" s="61"/>
      <c r="C27" s="61"/>
      <c r="D27" s="171"/>
      <c r="E27" s="172"/>
      <c r="F27" s="174"/>
      <c r="G27" s="58" t="e">
        <f>(ABS(B27-C27)/1000)/($F$25*PI()*(($D$25+$E$25)/1000))</f>
        <v>#DIV/0!</v>
      </c>
    </row>
    <row r="28" spans="1:9" x14ac:dyDescent="0.2">
      <c r="A28" s="54">
        <v>4</v>
      </c>
      <c r="B28" s="61"/>
      <c r="C28" s="61"/>
      <c r="D28" s="171"/>
      <c r="E28" s="172"/>
      <c r="F28" s="174"/>
      <c r="G28" s="58" t="e">
        <f>(ABS(B28-C28)/1000)/($F$25*PI()*(($D$25+$E$25)/1000))</f>
        <v>#DIV/0!</v>
      </c>
    </row>
    <row r="29" spans="1:9" x14ac:dyDescent="0.2">
      <c r="A29" s="54">
        <v>5</v>
      </c>
      <c r="B29" s="61"/>
      <c r="C29" s="61"/>
      <c r="D29" s="171"/>
      <c r="E29" s="172"/>
      <c r="F29" s="174"/>
      <c r="G29" s="58" t="e">
        <f>(ABS(B29-C29)/1000)/($F$25*PI()*(($D$25+$E$25)/1000))</f>
        <v>#DIV/0!</v>
      </c>
    </row>
    <row r="30" spans="1:9" x14ac:dyDescent="0.2">
      <c r="A30" s="170" t="s">
        <v>171</v>
      </c>
      <c r="B30" s="170"/>
      <c r="C30" s="170"/>
      <c r="D30" s="170"/>
      <c r="E30" s="170"/>
      <c r="F30" s="170"/>
      <c r="G30" s="59" t="e">
        <f>AVERAGE(G25:G29)</f>
        <v>#DIV/0!</v>
      </c>
      <c r="H30" s="55" t="s">
        <v>172</v>
      </c>
    </row>
    <row r="32" spans="1:9" x14ac:dyDescent="0.2">
      <c r="A32" s="170"/>
      <c r="B32" s="170"/>
      <c r="C32" s="170"/>
      <c r="D32" s="170"/>
      <c r="E32" s="170"/>
      <c r="F32" s="170"/>
      <c r="G32" s="170"/>
      <c r="H32" s="170"/>
      <c r="I32" s="170"/>
    </row>
    <row r="33" spans="7:9" x14ac:dyDescent="0.2">
      <c r="G33" s="54"/>
      <c r="H33" s="54"/>
      <c r="I33" s="54"/>
    </row>
    <row r="34" spans="7:9" x14ac:dyDescent="0.2">
      <c r="G34" s="171"/>
      <c r="H34" s="172"/>
      <c r="I34" s="172"/>
    </row>
    <row r="35" spans="7:9" x14ac:dyDescent="0.2">
      <c r="G35" s="171"/>
      <c r="H35" s="172"/>
      <c r="I35" s="172"/>
    </row>
    <row r="36" spans="7:9" x14ac:dyDescent="0.2">
      <c r="G36" s="60"/>
      <c r="H36" s="54"/>
      <c r="I36" s="54"/>
    </row>
    <row r="37" spans="7:9" x14ac:dyDescent="0.2">
      <c r="G37" s="60"/>
      <c r="H37" s="54"/>
      <c r="I37" s="54"/>
    </row>
  </sheetData>
  <mergeCells count="10">
    <mergeCell ref="A32:I32"/>
    <mergeCell ref="G34:G35"/>
    <mergeCell ref="H34:H35"/>
    <mergeCell ref="I34:I35"/>
    <mergeCell ref="A15:I15"/>
    <mergeCell ref="A23:G23"/>
    <mergeCell ref="D25:D29"/>
    <mergeCell ref="E25:E29"/>
    <mergeCell ref="F25:F29"/>
    <mergeCell ref="A30:F30"/>
  </mergeCells>
  <phoneticPr fontId="1" type="noConversion"/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B1:I18"/>
  <sheetViews>
    <sheetView workbookViewId="0">
      <selection activeCell="E20" sqref="E20"/>
    </sheetView>
  </sheetViews>
  <sheetFormatPr baseColWidth="10" defaultColWidth="11.5" defaultRowHeight="15" x14ac:dyDescent="0.2"/>
  <cols>
    <col min="1" max="16384" width="11.5" style="62"/>
  </cols>
  <sheetData>
    <row r="1" spans="2:9" x14ac:dyDescent="0.2">
      <c r="B1" s="62" t="s">
        <v>165</v>
      </c>
      <c r="C1" s="62" t="s">
        <v>185</v>
      </c>
      <c r="D1" s="62" t="s">
        <v>184</v>
      </c>
      <c r="E1" s="175" t="s">
        <v>183</v>
      </c>
      <c r="F1" s="175" t="s">
        <v>182</v>
      </c>
    </row>
    <row r="2" spans="2:9" x14ac:dyDescent="0.2">
      <c r="B2" s="63" t="s">
        <v>181</v>
      </c>
      <c r="C2" s="64">
        <v>0</v>
      </c>
      <c r="D2" s="176">
        <v>1710000</v>
      </c>
      <c r="E2" s="175"/>
      <c r="F2" s="175"/>
    </row>
    <row r="3" spans="2:9" x14ac:dyDescent="0.2">
      <c r="B3" s="63" t="s">
        <v>180</v>
      </c>
      <c r="C3" s="64">
        <v>3.81</v>
      </c>
      <c r="D3" s="176"/>
      <c r="E3" s="65">
        <f>(G11/1000)*$D$2</f>
        <v>1303.02</v>
      </c>
      <c r="F3" s="177">
        <f>I12/E7</f>
        <v>3.0771043163334854E-2</v>
      </c>
    </row>
    <row r="4" spans="2:9" x14ac:dyDescent="0.2">
      <c r="B4" s="63" t="s">
        <v>179</v>
      </c>
      <c r="C4" s="64">
        <v>7.79</v>
      </c>
      <c r="D4" s="176"/>
      <c r="E4" s="65">
        <f>(G12/1000)*$D$2</f>
        <v>1361.16</v>
      </c>
      <c r="F4" s="177"/>
    </row>
    <row r="5" spans="2:9" x14ac:dyDescent="0.2">
      <c r="B5" s="63" t="s">
        <v>178</v>
      </c>
      <c r="C5" s="64">
        <v>12.16</v>
      </c>
      <c r="D5" s="176"/>
      <c r="E5" s="65">
        <f>(G13/1000)*$D$2</f>
        <v>1494.54</v>
      </c>
      <c r="F5" s="177"/>
    </row>
    <row r="6" spans="2:9" x14ac:dyDescent="0.2">
      <c r="B6" s="63" t="s">
        <v>177</v>
      </c>
      <c r="C6" s="64">
        <v>16.399999999999999</v>
      </c>
      <c r="D6" s="176"/>
      <c r="E6" s="65">
        <f>(G14/1000)*$D$2</f>
        <v>1450.0799999999995</v>
      </c>
      <c r="F6" s="177"/>
    </row>
    <row r="7" spans="2:9" x14ac:dyDescent="0.2">
      <c r="B7" s="175" t="s">
        <v>171</v>
      </c>
      <c r="C7" s="175"/>
      <c r="D7" s="175"/>
      <c r="E7" s="66">
        <f>AVERAGE(E3:E6)</f>
        <v>1402.1999999999998</v>
      </c>
      <c r="F7" s="177"/>
    </row>
    <row r="10" spans="2:9" x14ac:dyDescent="0.2">
      <c r="G10" s="62" t="s">
        <v>176</v>
      </c>
      <c r="I10" s="175" t="s">
        <v>175</v>
      </c>
    </row>
    <row r="11" spans="2:9" x14ac:dyDescent="0.2">
      <c r="G11" s="62">
        <f>2*(C3-C2)/10</f>
        <v>0.76200000000000001</v>
      </c>
      <c r="H11" s="62">
        <f>(E3-$E$7)^2</f>
        <v>9836.6723999999667</v>
      </c>
      <c r="I11" s="175"/>
    </row>
    <row r="12" spans="2:9" x14ac:dyDescent="0.2">
      <c r="G12" s="62">
        <f>2*(C4-C3)/10</f>
        <v>0.79600000000000004</v>
      </c>
      <c r="H12" s="62">
        <f>(E4-$E$7)^2</f>
        <v>1684.2815999999784</v>
      </c>
      <c r="I12" s="175">
        <f>SQRT(H17^2+H18^2)</f>
        <v>43.147156723628129</v>
      </c>
    </row>
    <row r="13" spans="2:9" x14ac:dyDescent="0.2">
      <c r="G13" s="62">
        <f>2*(C5-C4)/10</f>
        <v>0.874</v>
      </c>
      <c r="H13" s="62">
        <f>(E5-$E$7)^2</f>
        <v>8526.6756000000278</v>
      </c>
      <c r="I13" s="175"/>
    </row>
    <row r="14" spans="2:9" x14ac:dyDescent="0.2">
      <c r="G14" s="62">
        <f>2*(C6-C5)/10</f>
        <v>0.84799999999999964</v>
      </c>
      <c r="H14" s="62">
        <f>(E6-$E$7)^2</f>
        <v>2292.4943999999668</v>
      </c>
      <c r="I14" s="175"/>
    </row>
    <row r="15" spans="2:9" x14ac:dyDescent="0.2">
      <c r="I15" s="175"/>
    </row>
    <row r="16" spans="2:9" x14ac:dyDescent="0.2">
      <c r="G16" s="175" t="s">
        <v>186</v>
      </c>
      <c r="H16" s="175"/>
    </row>
    <row r="17" spans="7:8" x14ac:dyDescent="0.2">
      <c r="G17" s="62" t="s">
        <v>174</v>
      </c>
      <c r="H17" s="62">
        <f>SQRT((SUM(H11:H14) )/12)</f>
        <v>43.147155178528223</v>
      </c>
    </row>
    <row r="18" spans="7:8" x14ac:dyDescent="0.2">
      <c r="G18" s="62" t="s">
        <v>173</v>
      </c>
      <c r="H18" s="62">
        <f>0.02/SQRT(3)</f>
        <v>1.1547005383792516E-2</v>
      </c>
    </row>
  </sheetData>
  <mergeCells count="8">
    <mergeCell ref="G16:H16"/>
    <mergeCell ref="D2:D6"/>
    <mergeCell ref="I12:I15"/>
    <mergeCell ref="E1:E2"/>
    <mergeCell ref="I10:I11"/>
    <mergeCell ref="B7:D7"/>
    <mergeCell ref="F1:F2"/>
    <mergeCell ref="F3:F7"/>
  </mergeCells>
  <phoneticPr fontId="1" type="noConversion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2:H16"/>
  <sheetViews>
    <sheetView workbookViewId="0">
      <selection activeCell="B5" sqref="B5:C14"/>
    </sheetView>
  </sheetViews>
  <sheetFormatPr baseColWidth="10" defaultColWidth="11.5" defaultRowHeight="16" x14ac:dyDescent="0.2"/>
  <cols>
    <col min="1" max="4" width="11.5" style="67"/>
    <col min="5" max="5" width="9.33203125" style="67" bestFit="1" customWidth="1"/>
    <col min="6" max="6" width="10.33203125" style="67" bestFit="1" customWidth="1"/>
    <col min="7" max="16384" width="11.5" style="67"/>
  </cols>
  <sheetData>
    <row r="2" spans="1:8" x14ac:dyDescent="0.2">
      <c r="A2" s="178" t="s">
        <v>187</v>
      </c>
      <c r="B2" s="178" t="s">
        <v>188</v>
      </c>
      <c r="C2" s="178"/>
      <c r="D2" s="178"/>
      <c r="E2" s="178"/>
      <c r="F2" s="178"/>
      <c r="G2" s="178" t="s">
        <v>189</v>
      </c>
    </row>
    <row r="3" spans="1:8" x14ac:dyDescent="0.2">
      <c r="A3" s="178"/>
      <c r="B3" s="68" t="s">
        <v>190</v>
      </c>
      <c r="C3" s="68" t="s">
        <v>191</v>
      </c>
      <c r="D3" s="178"/>
      <c r="E3" s="178" t="s">
        <v>171</v>
      </c>
      <c r="F3" s="178"/>
      <c r="G3" s="178"/>
    </row>
    <row r="4" spans="1:8" x14ac:dyDescent="0.2">
      <c r="A4" s="178"/>
      <c r="B4" s="68" t="s">
        <v>192</v>
      </c>
      <c r="C4" s="68" t="s">
        <v>192</v>
      </c>
      <c r="D4" s="178"/>
      <c r="E4" s="68" t="s">
        <v>192</v>
      </c>
      <c r="F4" s="68" t="s">
        <v>193</v>
      </c>
      <c r="G4" s="178"/>
    </row>
    <row r="5" spans="1:8" x14ac:dyDescent="0.2">
      <c r="A5" s="68">
        <v>200</v>
      </c>
      <c r="B5" s="69"/>
      <c r="C5" s="69"/>
      <c r="D5" s="178"/>
      <c r="E5" s="71" t="e">
        <f>AVERAGE(B5:C5)</f>
        <v>#DIV/0!</v>
      </c>
      <c r="F5" s="72" t="e">
        <f>E5/100*1000</f>
        <v>#DIV/0!</v>
      </c>
      <c r="G5" s="72" t="e">
        <f>A5-F5</f>
        <v>#DIV/0!</v>
      </c>
    </row>
    <row r="6" spans="1:8" x14ac:dyDescent="0.2">
      <c r="A6" s="68">
        <v>400</v>
      </c>
      <c r="B6" s="69"/>
      <c r="C6" s="69"/>
      <c r="D6" s="178"/>
      <c r="E6" s="71" t="e">
        <f t="shared" ref="E6:E14" si="0">AVERAGE(B6:C6)</f>
        <v>#DIV/0!</v>
      </c>
      <c r="F6" s="72" t="e">
        <f t="shared" ref="F6:F14" si="1">E6/100*1000</f>
        <v>#DIV/0!</v>
      </c>
      <c r="G6" s="72" t="e">
        <f t="shared" ref="G6:G14" si="2">A6-F6</f>
        <v>#DIV/0!</v>
      </c>
    </row>
    <row r="7" spans="1:8" x14ac:dyDescent="0.2">
      <c r="A7" s="68">
        <v>600</v>
      </c>
      <c r="B7" s="69"/>
      <c r="C7" s="69"/>
      <c r="D7" s="178"/>
      <c r="E7" s="71" t="e">
        <f t="shared" si="0"/>
        <v>#DIV/0!</v>
      </c>
      <c r="F7" s="72" t="e">
        <f t="shared" si="1"/>
        <v>#DIV/0!</v>
      </c>
      <c r="G7" s="72" t="e">
        <f t="shared" si="2"/>
        <v>#DIV/0!</v>
      </c>
    </row>
    <row r="8" spans="1:8" x14ac:dyDescent="0.2">
      <c r="A8" s="68">
        <v>800</v>
      </c>
      <c r="B8" s="69"/>
      <c r="C8" s="69"/>
      <c r="D8" s="178"/>
      <c r="E8" s="71" t="e">
        <f t="shared" si="0"/>
        <v>#DIV/0!</v>
      </c>
      <c r="F8" s="72" t="e">
        <f t="shared" si="1"/>
        <v>#DIV/0!</v>
      </c>
      <c r="G8" s="72" t="e">
        <f t="shared" si="2"/>
        <v>#DIV/0!</v>
      </c>
    </row>
    <row r="9" spans="1:8" x14ac:dyDescent="0.2">
      <c r="A9" s="68">
        <v>1000</v>
      </c>
      <c r="B9" s="69"/>
      <c r="C9" s="69"/>
      <c r="D9" s="178"/>
      <c r="E9" s="71" t="e">
        <f t="shared" si="0"/>
        <v>#DIV/0!</v>
      </c>
      <c r="F9" s="72" t="e">
        <f t="shared" si="1"/>
        <v>#DIV/0!</v>
      </c>
      <c r="G9" s="72" t="e">
        <f t="shared" si="2"/>
        <v>#DIV/0!</v>
      </c>
    </row>
    <row r="10" spans="1:8" x14ac:dyDescent="0.2">
      <c r="A10" s="68">
        <v>1200</v>
      </c>
      <c r="B10" s="69"/>
      <c r="C10" s="69"/>
      <c r="D10" s="178"/>
      <c r="E10" s="71" t="e">
        <f t="shared" si="0"/>
        <v>#DIV/0!</v>
      </c>
      <c r="F10" s="72" t="e">
        <f t="shared" si="1"/>
        <v>#DIV/0!</v>
      </c>
      <c r="G10" s="72" t="e">
        <f t="shared" si="2"/>
        <v>#DIV/0!</v>
      </c>
    </row>
    <row r="11" spans="1:8" x14ac:dyDescent="0.2">
      <c r="A11" s="68">
        <v>1400</v>
      </c>
      <c r="B11" s="69"/>
      <c r="C11" s="69"/>
      <c r="D11" s="178"/>
      <c r="E11" s="71" t="e">
        <f t="shared" si="0"/>
        <v>#DIV/0!</v>
      </c>
      <c r="F11" s="72" t="e">
        <f t="shared" si="1"/>
        <v>#DIV/0!</v>
      </c>
      <c r="G11" s="72" t="e">
        <f t="shared" si="2"/>
        <v>#DIV/0!</v>
      </c>
    </row>
    <row r="12" spans="1:8" x14ac:dyDescent="0.2">
      <c r="A12" s="68">
        <v>1600</v>
      </c>
      <c r="B12" s="69"/>
      <c r="C12" s="69"/>
      <c r="D12" s="178"/>
      <c r="E12" s="71" t="e">
        <f t="shared" si="0"/>
        <v>#DIV/0!</v>
      </c>
      <c r="F12" s="72" t="e">
        <f t="shared" si="1"/>
        <v>#DIV/0!</v>
      </c>
      <c r="G12" s="72" t="e">
        <f t="shared" si="2"/>
        <v>#DIV/0!</v>
      </c>
    </row>
    <row r="13" spans="1:8" x14ac:dyDescent="0.2">
      <c r="A13" s="68">
        <v>1800</v>
      </c>
      <c r="B13" s="69"/>
      <c r="C13" s="69"/>
      <c r="D13" s="178"/>
      <c r="E13" s="71" t="e">
        <f t="shared" si="0"/>
        <v>#DIV/0!</v>
      </c>
      <c r="F13" s="72" t="e">
        <f t="shared" si="1"/>
        <v>#DIV/0!</v>
      </c>
      <c r="G13" s="72" t="e">
        <f t="shared" si="2"/>
        <v>#DIV/0!</v>
      </c>
    </row>
    <row r="14" spans="1:8" x14ac:dyDescent="0.2">
      <c r="A14" s="68">
        <v>1999</v>
      </c>
      <c r="B14" s="69"/>
      <c r="C14" s="69"/>
      <c r="D14" s="178"/>
      <c r="E14" s="71" t="e">
        <f t="shared" si="0"/>
        <v>#DIV/0!</v>
      </c>
      <c r="F14" s="72" t="e">
        <f t="shared" si="1"/>
        <v>#DIV/0!</v>
      </c>
      <c r="G14" s="72" t="e">
        <f t="shared" si="2"/>
        <v>#DIV/0!</v>
      </c>
    </row>
    <row r="16" spans="1:8" x14ac:dyDescent="0.2">
      <c r="G16" s="70" t="e">
        <f>MAX(G5:G14)/$A$14</f>
        <v>#DIV/0!</v>
      </c>
      <c r="H16" s="67" t="s">
        <v>194</v>
      </c>
    </row>
  </sheetData>
  <mergeCells count="5">
    <mergeCell ref="A2:A4"/>
    <mergeCell ref="B2:F2"/>
    <mergeCell ref="G2:G4"/>
    <mergeCell ref="E3:F3"/>
    <mergeCell ref="D3:D14"/>
  </mergeCells>
  <phoneticPr fontId="1" type="noConversion"/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B2:U79"/>
  <sheetViews>
    <sheetView zoomScale="55" zoomScaleNormal="55" zoomScalePageLayoutView="55" workbookViewId="0">
      <selection activeCell="P48" sqref="P48:U48"/>
    </sheetView>
  </sheetViews>
  <sheetFormatPr baseColWidth="10" defaultColWidth="8.83203125" defaultRowHeight="15" x14ac:dyDescent="0.2"/>
  <cols>
    <col min="1" max="2" width="8.83203125" style="15"/>
    <col min="3" max="3" width="11" style="15" customWidth="1"/>
    <col min="4" max="16384" width="8.83203125" style="15"/>
  </cols>
  <sheetData>
    <row r="2" spans="2:13" x14ac:dyDescent="0.2">
      <c r="E2" s="160" t="s">
        <v>195</v>
      </c>
      <c r="F2" s="160"/>
    </row>
    <row r="3" spans="2:13" x14ac:dyDescent="0.2">
      <c r="B3" s="15" t="s">
        <v>196</v>
      </c>
      <c r="C3" s="15" t="s">
        <v>197</v>
      </c>
      <c r="E3" s="73" t="s">
        <v>198</v>
      </c>
      <c r="F3" s="15" t="s">
        <v>199</v>
      </c>
      <c r="H3" s="21"/>
      <c r="I3" s="21"/>
      <c r="J3" s="21"/>
      <c r="K3" s="21"/>
      <c r="L3" s="21"/>
      <c r="M3" s="21"/>
    </row>
    <row r="4" spans="2:13" x14ac:dyDescent="0.2">
      <c r="B4" s="17"/>
      <c r="C4" s="17"/>
      <c r="E4" s="15">
        <f t="shared" ref="E4:E67" si="0">B4/10</f>
        <v>0</v>
      </c>
      <c r="F4" s="74">
        <f t="shared" ref="F4:F67" si="1">(C4/100)*10^-8</f>
        <v>0</v>
      </c>
      <c r="H4" s="21"/>
      <c r="I4" s="21"/>
      <c r="J4" s="21"/>
      <c r="K4" s="21"/>
      <c r="L4" s="21"/>
      <c r="M4" s="21"/>
    </row>
    <row r="5" spans="2:13" x14ac:dyDescent="0.2">
      <c r="B5" s="17"/>
      <c r="C5" s="17"/>
      <c r="E5" s="15">
        <f t="shared" si="0"/>
        <v>0</v>
      </c>
      <c r="F5" s="74">
        <f t="shared" si="1"/>
        <v>0</v>
      </c>
      <c r="H5" s="21"/>
      <c r="I5" s="21"/>
      <c r="J5" s="21"/>
      <c r="K5" s="21"/>
      <c r="L5" s="21"/>
      <c r="M5" s="21"/>
    </row>
    <row r="6" spans="2:13" x14ac:dyDescent="0.2">
      <c r="B6" s="17"/>
      <c r="C6" s="17"/>
      <c r="E6" s="15">
        <f t="shared" si="0"/>
        <v>0</v>
      </c>
      <c r="F6" s="74">
        <f t="shared" si="1"/>
        <v>0</v>
      </c>
      <c r="H6" s="21"/>
      <c r="I6" s="21"/>
      <c r="J6" s="21"/>
      <c r="K6" s="21"/>
      <c r="L6" s="21"/>
      <c r="M6" s="21"/>
    </row>
    <row r="7" spans="2:13" x14ac:dyDescent="0.2">
      <c r="B7" s="17"/>
      <c r="C7" s="17"/>
      <c r="E7" s="15">
        <f t="shared" si="0"/>
        <v>0</v>
      </c>
      <c r="F7" s="74">
        <f t="shared" si="1"/>
        <v>0</v>
      </c>
      <c r="H7" s="21"/>
      <c r="I7" s="21"/>
      <c r="J7" s="21"/>
      <c r="K7" s="21"/>
      <c r="L7" s="21"/>
      <c r="M7" s="21"/>
    </row>
    <row r="8" spans="2:13" x14ac:dyDescent="0.2">
      <c r="B8" s="17"/>
      <c r="C8" s="17"/>
      <c r="E8" s="15">
        <f t="shared" si="0"/>
        <v>0</v>
      </c>
      <c r="F8" s="74">
        <f t="shared" si="1"/>
        <v>0</v>
      </c>
      <c r="H8" s="21"/>
      <c r="I8" s="21"/>
      <c r="J8" s="21"/>
      <c r="K8" s="21"/>
      <c r="L8" s="21"/>
      <c r="M8" s="21"/>
    </row>
    <row r="9" spans="2:13" x14ac:dyDescent="0.2">
      <c r="B9" s="17"/>
      <c r="C9" s="17"/>
      <c r="E9" s="15">
        <f t="shared" si="0"/>
        <v>0</v>
      </c>
      <c r="F9" s="74">
        <f t="shared" si="1"/>
        <v>0</v>
      </c>
      <c r="H9" s="21"/>
      <c r="I9" s="21"/>
      <c r="J9" s="21"/>
      <c r="K9" s="21"/>
      <c r="L9" s="21"/>
      <c r="M9" s="21"/>
    </row>
    <row r="10" spans="2:13" x14ac:dyDescent="0.2">
      <c r="B10" s="17"/>
      <c r="C10" s="17"/>
      <c r="E10" s="15">
        <f t="shared" si="0"/>
        <v>0</v>
      </c>
      <c r="F10" s="74">
        <f t="shared" si="1"/>
        <v>0</v>
      </c>
      <c r="H10" s="21"/>
      <c r="I10" s="21"/>
      <c r="J10" s="21"/>
      <c r="K10" s="21"/>
      <c r="L10" s="21"/>
      <c r="M10" s="21"/>
    </row>
    <row r="11" spans="2:13" x14ac:dyDescent="0.2">
      <c r="B11" s="17"/>
      <c r="C11" s="17"/>
      <c r="E11" s="15">
        <f t="shared" si="0"/>
        <v>0</v>
      </c>
      <c r="F11" s="74">
        <f t="shared" si="1"/>
        <v>0</v>
      </c>
      <c r="H11" s="21"/>
      <c r="I11" s="21"/>
      <c r="J11" s="21"/>
      <c r="K11" s="21"/>
      <c r="L11" s="21"/>
      <c r="M11" s="21"/>
    </row>
    <row r="12" spans="2:13" x14ac:dyDescent="0.2">
      <c r="B12" s="17"/>
      <c r="C12" s="17"/>
      <c r="E12" s="15">
        <f t="shared" si="0"/>
        <v>0</v>
      </c>
      <c r="F12" s="74">
        <f t="shared" si="1"/>
        <v>0</v>
      </c>
      <c r="H12" s="21"/>
      <c r="I12" s="21"/>
      <c r="J12" s="21"/>
      <c r="K12" s="21"/>
      <c r="L12" s="21"/>
      <c r="M12" s="21"/>
    </row>
    <row r="13" spans="2:13" x14ac:dyDescent="0.2">
      <c r="B13" s="17"/>
      <c r="C13" s="17"/>
      <c r="E13" s="15">
        <f t="shared" si="0"/>
        <v>0</v>
      </c>
      <c r="F13" s="74">
        <f t="shared" si="1"/>
        <v>0</v>
      </c>
      <c r="H13" s="21"/>
      <c r="I13" s="21"/>
      <c r="J13" s="21"/>
      <c r="K13" s="21"/>
      <c r="L13" s="21"/>
      <c r="M13" s="21"/>
    </row>
    <row r="14" spans="2:13" x14ac:dyDescent="0.2">
      <c r="B14" s="17"/>
      <c r="C14" s="17"/>
      <c r="E14" s="15">
        <f t="shared" si="0"/>
        <v>0</v>
      </c>
      <c r="F14" s="74">
        <f t="shared" si="1"/>
        <v>0</v>
      </c>
      <c r="H14" s="21"/>
      <c r="I14" s="21"/>
      <c r="J14" s="21"/>
      <c r="K14" s="21"/>
      <c r="L14" s="21"/>
      <c r="M14" s="21"/>
    </row>
    <row r="15" spans="2:13" x14ac:dyDescent="0.2">
      <c r="B15" s="17"/>
      <c r="C15" s="17"/>
      <c r="E15" s="15">
        <f t="shared" si="0"/>
        <v>0</v>
      </c>
      <c r="F15" s="74">
        <f t="shared" si="1"/>
        <v>0</v>
      </c>
      <c r="H15" s="21"/>
      <c r="I15" s="21"/>
      <c r="J15" s="21"/>
      <c r="K15" s="21"/>
      <c r="L15" s="21"/>
      <c r="M15" s="21"/>
    </row>
    <row r="16" spans="2:13" x14ac:dyDescent="0.2">
      <c r="B16" s="17"/>
      <c r="C16" s="17"/>
      <c r="E16" s="15">
        <f t="shared" si="0"/>
        <v>0</v>
      </c>
      <c r="F16" s="74">
        <f t="shared" si="1"/>
        <v>0</v>
      </c>
      <c r="H16" s="21"/>
      <c r="I16" s="21"/>
      <c r="J16" s="21"/>
      <c r="K16" s="21"/>
      <c r="L16" s="21"/>
      <c r="M16" s="21"/>
    </row>
    <row r="17" spans="2:13" x14ac:dyDescent="0.2">
      <c r="B17" s="17"/>
      <c r="C17" s="17"/>
      <c r="E17" s="15">
        <f t="shared" si="0"/>
        <v>0</v>
      </c>
      <c r="F17" s="74">
        <f t="shared" si="1"/>
        <v>0</v>
      </c>
      <c r="H17" s="21"/>
      <c r="I17" s="21"/>
      <c r="J17" s="21"/>
      <c r="K17" s="21"/>
      <c r="L17" s="21"/>
      <c r="M17" s="21"/>
    </row>
    <row r="18" spans="2:13" x14ac:dyDescent="0.2">
      <c r="B18" s="17"/>
      <c r="C18" s="17"/>
      <c r="E18" s="15">
        <f t="shared" si="0"/>
        <v>0</v>
      </c>
      <c r="F18" s="74">
        <f t="shared" si="1"/>
        <v>0</v>
      </c>
      <c r="H18" s="21"/>
      <c r="I18" s="21"/>
      <c r="J18" s="21"/>
      <c r="K18" s="21"/>
      <c r="L18" s="21"/>
      <c r="M18" s="21"/>
    </row>
    <row r="19" spans="2:13" x14ac:dyDescent="0.2">
      <c r="B19" s="17"/>
      <c r="C19" s="17"/>
      <c r="E19" s="15">
        <f t="shared" si="0"/>
        <v>0</v>
      </c>
      <c r="F19" s="74">
        <f t="shared" si="1"/>
        <v>0</v>
      </c>
      <c r="H19" s="21"/>
      <c r="I19" s="21"/>
      <c r="J19" s="21"/>
      <c r="K19" s="21"/>
      <c r="L19" s="21"/>
      <c r="M19" s="21"/>
    </row>
    <row r="20" spans="2:13" x14ac:dyDescent="0.2">
      <c r="B20" s="17"/>
      <c r="C20" s="17"/>
      <c r="E20" s="15">
        <f t="shared" si="0"/>
        <v>0</v>
      </c>
      <c r="F20" s="74">
        <f t="shared" si="1"/>
        <v>0</v>
      </c>
      <c r="H20" s="21"/>
      <c r="I20" s="21"/>
      <c r="J20" s="21"/>
      <c r="K20" s="21"/>
      <c r="L20" s="21"/>
      <c r="M20" s="21"/>
    </row>
    <row r="21" spans="2:13" x14ac:dyDescent="0.2">
      <c r="B21" s="17"/>
      <c r="C21" s="17"/>
      <c r="E21" s="15">
        <f t="shared" si="0"/>
        <v>0</v>
      </c>
      <c r="F21" s="74">
        <f t="shared" si="1"/>
        <v>0</v>
      </c>
      <c r="H21" s="21"/>
      <c r="I21" s="21"/>
      <c r="J21" s="21"/>
      <c r="K21" s="21"/>
      <c r="L21" s="21"/>
      <c r="M21" s="21"/>
    </row>
    <row r="22" spans="2:13" x14ac:dyDescent="0.2">
      <c r="B22" s="17"/>
      <c r="C22" s="17"/>
      <c r="E22" s="15">
        <f t="shared" si="0"/>
        <v>0</v>
      </c>
      <c r="F22" s="74">
        <f t="shared" si="1"/>
        <v>0</v>
      </c>
      <c r="H22" s="21"/>
      <c r="I22" s="21"/>
      <c r="J22" s="21"/>
      <c r="K22" s="21"/>
      <c r="L22" s="21"/>
      <c r="M22" s="21"/>
    </row>
    <row r="23" spans="2:13" x14ac:dyDescent="0.2">
      <c r="B23" s="17"/>
      <c r="C23" s="17"/>
      <c r="E23" s="15">
        <f t="shared" si="0"/>
        <v>0</v>
      </c>
      <c r="F23" s="74">
        <f t="shared" si="1"/>
        <v>0</v>
      </c>
      <c r="H23" s="21"/>
      <c r="I23" s="21"/>
      <c r="J23" s="21"/>
      <c r="K23" s="21"/>
      <c r="L23" s="21"/>
      <c r="M23" s="21"/>
    </row>
    <row r="24" spans="2:13" x14ac:dyDescent="0.2">
      <c r="B24" s="17"/>
      <c r="C24" s="17"/>
      <c r="E24" s="15">
        <f t="shared" si="0"/>
        <v>0</v>
      </c>
      <c r="F24" s="74">
        <f t="shared" si="1"/>
        <v>0</v>
      </c>
      <c r="H24" s="21"/>
      <c r="I24" s="21"/>
      <c r="J24" s="21"/>
      <c r="K24" s="21"/>
      <c r="L24" s="21"/>
      <c r="M24" s="21"/>
    </row>
    <row r="25" spans="2:13" x14ac:dyDescent="0.2">
      <c r="B25" s="17"/>
      <c r="C25" s="17"/>
      <c r="E25" s="15">
        <f t="shared" si="0"/>
        <v>0</v>
      </c>
      <c r="F25" s="74">
        <f t="shared" si="1"/>
        <v>0</v>
      </c>
      <c r="H25" s="21"/>
      <c r="I25" s="21"/>
      <c r="J25" s="21"/>
      <c r="K25" s="21"/>
      <c r="L25" s="21"/>
      <c r="M25" s="21"/>
    </row>
    <row r="26" spans="2:13" x14ac:dyDescent="0.2">
      <c r="B26" s="17"/>
      <c r="C26" s="17"/>
      <c r="E26" s="15">
        <f t="shared" si="0"/>
        <v>0</v>
      </c>
      <c r="F26" s="74">
        <f t="shared" si="1"/>
        <v>0</v>
      </c>
      <c r="H26" s="21"/>
      <c r="I26" s="21"/>
      <c r="J26" s="21"/>
      <c r="K26" s="21"/>
      <c r="L26" s="21"/>
      <c r="M26" s="21"/>
    </row>
    <row r="27" spans="2:13" x14ac:dyDescent="0.2">
      <c r="B27" s="17"/>
      <c r="C27" s="17"/>
      <c r="E27" s="15">
        <f t="shared" si="0"/>
        <v>0</v>
      </c>
      <c r="F27" s="74">
        <f t="shared" si="1"/>
        <v>0</v>
      </c>
      <c r="H27" s="21"/>
      <c r="I27" s="21"/>
      <c r="J27" s="21"/>
      <c r="K27" s="21"/>
      <c r="L27" s="21"/>
      <c r="M27" s="21"/>
    </row>
    <row r="28" spans="2:13" x14ac:dyDescent="0.2">
      <c r="B28" s="17"/>
      <c r="C28" s="17"/>
      <c r="E28" s="15">
        <f t="shared" si="0"/>
        <v>0</v>
      </c>
      <c r="F28" s="74">
        <f t="shared" si="1"/>
        <v>0</v>
      </c>
      <c r="H28" s="21"/>
      <c r="I28" s="21"/>
      <c r="J28" s="21"/>
      <c r="K28" s="21"/>
      <c r="L28" s="21"/>
      <c r="M28" s="21"/>
    </row>
    <row r="29" spans="2:13" x14ac:dyDescent="0.2">
      <c r="B29" s="17"/>
      <c r="C29" s="17"/>
      <c r="E29" s="15">
        <f t="shared" si="0"/>
        <v>0</v>
      </c>
      <c r="F29" s="74">
        <f t="shared" si="1"/>
        <v>0</v>
      </c>
      <c r="H29" s="21"/>
      <c r="I29" s="21"/>
      <c r="J29" s="21"/>
      <c r="K29" s="21"/>
      <c r="L29" s="21"/>
      <c r="M29" s="21"/>
    </row>
    <row r="30" spans="2:13" x14ac:dyDescent="0.2">
      <c r="B30" s="17"/>
      <c r="C30" s="17"/>
      <c r="E30" s="15">
        <f t="shared" si="0"/>
        <v>0</v>
      </c>
      <c r="F30" s="74">
        <f t="shared" si="1"/>
        <v>0</v>
      </c>
    </row>
    <row r="31" spans="2:13" x14ac:dyDescent="0.2">
      <c r="B31" s="17"/>
      <c r="C31" s="17"/>
      <c r="E31" s="15">
        <f t="shared" si="0"/>
        <v>0</v>
      </c>
      <c r="F31" s="74">
        <f t="shared" si="1"/>
        <v>0</v>
      </c>
    </row>
    <row r="32" spans="2:13" x14ac:dyDescent="0.2">
      <c r="B32" s="17"/>
      <c r="C32" s="17"/>
      <c r="E32" s="15">
        <f t="shared" si="0"/>
        <v>0</v>
      </c>
      <c r="F32" s="74">
        <f t="shared" si="1"/>
        <v>0</v>
      </c>
    </row>
    <row r="33" spans="2:21" x14ac:dyDescent="0.2">
      <c r="B33" s="17"/>
      <c r="C33" s="17"/>
      <c r="E33" s="15">
        <f t="shared" si="0"/>
        <v>0</v>
      </c>
      <c r="F33" s="74">
        <f t="shared" si="1"/>
        <v>0</v>
      </c>
    </row>
    <row r="34" spans="2:21" x14ac:dyDescent="0.2">
      <c r="B34" s="17"/>
      <c r="C34" s="17"/>
      <c r="E34" s="15">
        <f t="shared" si="0"/>
        <v>0</v>
      </c>
      <c r="F34" s="74">
        <f t="shared" si="1"/>
        <v>0</v>
      </c>
    </row>
    <row r="35" spans="2:21" x14ac:dyDescent="0.2">
      <c r="B35" s="17"/>
      <c r="C35" s="17"/>
      <c r="E35" s="15">
        <f t="shared" si="0"/>
        <v>0</v>
      </c>
      <c r="F35" s="74">
        <f t="shared" si="1"/>
        <v>0</v>
      </c>
    </row>
    <row r="36" spans="2:21" x14ac:dyDescent="0.2">
      <c r="B36" s="17"/>
      <c r="C36" s="17"/>
      <c r="E36" s="15">
        <f t="shared" si="0"/>
        <v>0</v>
      </c>
      <c r="F36" s="74">
        <f t="shared" si="1"/>
        <v>0</v>
      </c>
    </row>
    <row r="37" spans="2:21" x14ac:dyDescent="0.2">
      <c r="B37" s="17"/>
      <c r="C37" s="17"/>
      <c r="E37" s="15">
        <f t="shared" si="0"/>
        <v>0</v>
      </c>
      <c r="F37" s="74">
        <f t="shared" si="1"/>
        <v>0</v>
      </c>
    </row>
    <row r="38" spans="2:21" x14ac:dyDescent="0.2">
      <c r="B38" s="17"/>
      <c r="C38" s="17"/>
      <c r="E38" s="15">
        <f t="shared" si="0"/>
        <v>0</v>
      </c>
      <c r="F38" s="74">
        <f t="shared" si="1"/>
        <v>0</v>
      </c>
    </row>
    <row r="39" spans="2:21" x14ac:dyDescent="0.2">
      <c r="B39" s="17"/>
      <c r="C39" s="17"/>
      <c r="E39" s="15">
        <f t="shared" si="0"/>
        <v>0</v>
      </c>
      <c r="F39" s="74">
        <f t="shared" si="1"/>
        <v>0</v>
      </c>
    </row>
    <row r="40" spans="2:21" x14ac:dyDescent="0.2">
      <c r="B40" s="17"/>
      <c r="C40" s="17"/>
      <c r="E40" s="15">
        <f t="shared" si="0"/>
        <v>0</v>
      </c>
      <c r="F40" s="74">
        <f t="shared" si="1"/>
        <v>0</v>
      </c>
    </row>
    <row r="41" spans="2:21" x14ac:dyDescent="0.2">
      <c r="B41" s="17"/>
      <c r="C41" s="17"/>
      <c r="E41" s="15">
        <f t="shared" si="0"/>
        <v>0</v>
      </c>
      <c r="F41" s="74">
        <f t="shared" si="1"/>
        <v>0</v>
      </c>
    </row>
    <row r="42" spans="2:21" x14ac:dyDescent="0.2">
      <c r="B42" s="17"/>
      <c r="C42" s="17"/>
      <c r="E42" s="15">
        <f t="shared" si="0"/>
        <v>0</v>
      </c>
      <c r="F42" s="74">
        <f t="shared" si="1"/>
        <v>0</v>
      </c>
    </row>
    <row r="43" spans="2:21" x14ac:dyDescent="0.2">
      <c r="B43" s="17"/>
      <c r="C43" s="17"/>
      <c r="E43" s="15">
        <f t="shared" si="0"/>
        <v>0</v>
      </c>
      <c r="F43" s="74">
        <f t="shared" si="1"/>
        <v>0</v>
      </c>
    </row>
    <row r="44" spans="2:21" x14ac:dyDescent="0.2">
      <c r="B44" s="17"/>
      <c r="C44" s="17"/>
      <c r="E44" s="15">
        <f t="shared" si="0"/>
        <v>0</v>
      </c>
      <c r="F44" s="74">
        <f t="shared" si="1"/>
        <v>0</v>
      </c>
    </row>
    <row r="45" spans="2:21" x14ac:dyDescent="0.2">
      <c r="B45" s="17"/>
      <c r="C45" s="17"/>
      <c r="E45" s="15">
        <f t="shared" si="0"/>
        <v>0</v>
      </c>
      <c r="F45" s="74">
        <f t="shared" si="1"/>
        <v>0</v>
      </c>
    </row>
    <row r="46" spans="2:21" x14ac:dyDescent="0.2">
      <c r="B46" s="17"/>
      <c r="C46" s="17"/>
      <c r="E46" s="15">
        <f t="shared" si="0"/>
        <v>0</v>
      </c>
      <c r="F46" s="74">
        <f t="shared" si="1"/>
        <v>0</v>
      </c>
    </row>
    <row r="47" spans="2:21" x14ac:dyDescent="0.2">
      <c r="B47" s="17"/>
      <c r="C47" s="17"/>
      <c r="E47" s="15">
        <f t="shared" si="0"/>
        <v>0</v>
      </c>
      <c r="F47" s="74">
        <f t="shared" si="1"/>
        <v>0</v>
      </c>
      <c r="O47" s="15" t="s">
        <v>200</v>
      </c>
      <c r="P47" s="15">
        <v>1</v>
      </c>
      <c r="Q47" s="15">
        <v>2</v>
      </c>
      <c r="R47" s="15">
        <v>3</v>
      </c>
      <c r="S47" s="15">
        <v>4</v>
      </c>
      <c r="T47" s="15">
        <v>5</v>
      </c>
      <c r="U47" s="15">
        <v>6</v>
      </c>
    </row>
    <row r="48" spans="2:21" x14ac:dyDescent="0.2">
      <c r="B48" s="17"/>
      <c r="C48" s="17"/>
      <c r="E48" s="15">
        <f t="shared" si="0"/>
        <v>0</v>
      </c>
      <c r="F48" s="74">
        <f t="shared" si="1"/>
        <v>0</v>
      </c>
      <c r="O48" s="15" t="s">
        <v>201</v>
      </c>
      <c r="P48" s="17"/>
      <c r="Q48" s="17"/>
      <c r="R48" s="17"/>
      <c r="S48" s="17"/>
      <c r="T48" s="17"/>
      <c r="U48" s="17"/>
    </row>
    <row r="49" spans="2:19" x14ac:dyDescent="0.2">
      <c r="B49" s="17"/>
      <c r="C49" s="17"/>
      <c r="E49" s="15">
        <f t="shared" si="0"/>
        <v>0</v>
      </c>
      <c r="F49" s="74">
        <f t="shared" si="1"/>
        <v>0</v>
      </c>
    </row>
    <row r="50" spans="2:19" x14ac:dyDescent="0.2">
      <c r="B50" s="17"/>
      <c r="C50" s="17"/>
      <c r="E50" s="15">
        <f t="shared" si="0"/>
        <v>0</v>
      </c>
      <c r="F50" s="74">
        <f t="shared" si="1"/>
        <v>0</v>
      </c>
      <c r="O50" s="161" t="s">
        <v>210</v>
      </c>
      <c r="P50" s="15">
        <f>S48-P48</f>
        <v>0</v>
      </c>
      <c r="Q50" s="15">
        <f t="shared" ref="Q50:R50" si="2">T48-Q48</f>
        <v>0</v>
      </c>
      <c r="R50" s="15">
        <f t="shared" si="2"/>
        <v>0</v>
      </c>
    </row>
    <row r="51" spans="2:19" x14ac:dyDescent="0.2">
      <c r="B51" s="17"/>
      <c r="C51" s="17"/>
      <c r="E51" s="15">
        <f t="shared" si="0"/>
        <v>0</v>
      </c>
      <c r="F51" s="74">
        <f t="shared" si="1"/>
        <v>0</v>
      </c>
      <c r="O51" s="161"/>
    </row>
    <row r="52" spans="2:19" x14ac:dyDescent="0.2">
      <c r="B52" s="17"/>
      <c r="C52" s="17"/>
      <c r="E52" s="15">
        <f t="shared" si="0"/>
        <v>0</v>
      </c>
      <c r="F52" s="74">
        <f t="shared" si="1"/>
        <v>0</v>
      </c>
      <c r="O52" s="161"/>
      <c r="P52" s="15">
        <f>SUM(P50:R50)/6</f>
        <v>0</v>
      </c>
    </row>
    <row r="53" spans="2:19" x14ac:dyDescent="0.2">
      <c r="B53" s="17"/>
      <c r="C53" s="17"/>
      <c r="E53" s="15">
        <f t="shared" si="0"/>
        <v>0</v>
      </c>
      <c r="F53" s="74">
        <f t="shared" si="1"/>
        <v>0</v>
      </c>
    </row>
    <row r="54" spans="2:19" x14ac:dyDescent="0.2">
      <c r="B54" s="17"/>
      <c r="C54" s="17"/>
      <c r="E54" s="15">
        <f t="shared" si="0"/>
        <v>0</v>
      </c>
      <c r="F54" s="74">
        <f t="shared" si="1"/>
        <v>0</v>
      </c>
      <c r="O54" s="15" t="s">
        <v>202</v>
      </c>
      <c r="P54" s="15" t="s">
        <v>203</v>
      </c>
      <c r="Q54" s="15" t="s">
        <v>204</v>
      </c>
      <c r="R54" s="15" t="s">
        <v>205</v>
      </c>
      <c r="S54" s="15" t="s">
        <v>206</v>
      </c>
    </row>
    <row r="55" spans="2:19" x14ac:dyDescent="0.2">
      <c r="B55" s="17"/>
      <c r="C55" s="17"/>
      <c r="E55" s="15">
        <f t="shared" si="0"/>
        <v>0</v>
      </c>
      <c r="F55" s="74">
        <f t="shared" si="1"/>
        <v>0</v>
      </c>
      <c r="O55" s="74">
        <v>1.5999999999999999E-19</v>
      </c>
      <c r="P55" s="15">
        <v>11.72</v>
      </c>
      <c r="Q55" s="75">
        <v>11.683</v>
      </c>
      <c r="R55" s="74">
        <v>6.6299999999999999E-34</v>
      </c>
      <c r="S55" s="74">
        <v>300000000</v>
      </c>
    </row>
    <row r="56" spans="2:19" x14ac:dyDescent="0.2">
      <c r="B56" s="17"/>
      <c r="C56" s="17"/>
      <c r="E56" s="15">
        <f t="shared" si="0"/>
        <v>0</v>
      </c>
      <c r="F56" s="74">
        <f t="shared" si="1"/>
        <v>0</v>
      </c>
    </row>
    <row r="57" spans="2:19" x14ac:dyDescent="0.2">
      <c r="B57" s="17"/>
      <c r="C57" s="17"/>
      <c r="E57" s="15">
        <f t="shared" si="0"/>
        <v>0</v>
      </c>
      <c r="F57" s="74">
        <f t="shared" si="1"/>
        <v>0</v>
      </c>
      <c r="O57" s="15" t="s">
        <v>207</v>
      </c>
    </row>
    <row r="58" spans="2:19" x14ac:dyDescent="0.2">
      <c r="B58" s="17"/>
      <c r="C58" s="17"/>
      <c r="E58" s="15">
        <f t="shared" si="0"/>
        <v>0</v>
      </c>
      <c r="F58" s="74">
        <f t="shared" si="1"/>
        <v>0</v>
      </c>
      <c r="O58" s="15" t="s">
        <v>208</v>
      </c>
      <c r="P58" s="15" t="s">
        <v>209</v>
      </c>
    </row>
    <row r="59" spans="2:19" x14ac:dyDescent="0.2">
      <c r="B59" s="17"/>
      <c r="C59" s="17"/>
      <c r="E59" s="15">
        <f t="shared" si="0"/>
        <v>0</v>
      </c>
      <c r="F59" s="74">
        <f t="shared" si="1"/>
        <v>0</v>
      </c>
      <c r="O59" s="76">
        <f>($R$55*$S$55/($O$55*P55))*10^9</f>
        <v>106.06868600682594</v>
      </c>
      <c r="P59" s="76">
        <f>($R$55*$S$55/($O$55*Q55))*10^9</f>
        <v>106.40460498159719</v>
      </c>
    </row>
    <row r="60" spans="2:19" x14ac:dyDescent="0.2">
      <c r="B60" s="17"/>
      <c r="C60" s="17"/>
      <c r="E60" s="15">
        <f t="shared" si="0"/>
        <v>0</v>
      </c>
      <c r="F60" s="74">
        <f t="shared" si="1"/>
        <v>0</v>
      </c>
    </row>
    <row r="61" spans="2:19" x14ac:dyDescent="0.2">
      <c r="B61" s="17"/>
      <c r="C61" s="17"/>
      <c r="E61" s="15">
        <f t="shared" si="0"/>
        <v>0</v>
      </c>
      <c r="F61" s="74">
        <f t="shared" si="1"/>
        <v>0</v>
      </c>
    </row>
    <row r="62" spans="2:19" x14ac:dyDescent="0.2">
      <c r="B62" s="17"/>
      <c r="C62" s="17"/>
      <c r="E62" s="15">
        <f t="shared" si="0"/>
        <v>0</v>
      </c>
      <c r="F62" s="74">
        <f t="shared" si="1"/>
        <v>0</v>
      </c>
    </row>
    <row r="63" spans="2:19" x14ac:dyDescent="0.2">
      <c r="B63" s="17"/>
      <c r="C63" s="17"/>
      <c r="E63" s="15">
        <f t="shared" si="0"/>
        <v>0</v>
      </c>
      <c r="F63" s="74">
        <f t="shared" si="1"/>
        <v>0</v>
      </c>
    </row>
    <row r="64" spans="2:19" x14ac:dyDescent="0.2">
      <c r="B64" s="17"/>
      <c r="C64" s="17"/>
      <c r="E64" s="15">
        <f t="shared" si="0"/>
        <v>0</v>
      </c>
      <c r="F64" s="74">
        <f t="shared" si="1"/>
        <v>0</v>
      </c>
    </row>
    <row r="65" spans="2:6" x14ac:dyDescent="0.2">
      <c r="B65" s="17"/>
      <c r="C65" s="17"/>
      <c r="E65" s="15">
        <f t="shared" si="0"/>
        <v>0</v>
      </c>
      <c r="F65" s="74">
        <f t="shared" si="1"/>
        <v>0</v>
      </c>
    </row>
    <row r="66" spans="2:6" x14ac:dyDescent="0.2">
      <c r="B66" s="17"/>
      <c r="C66" s="17"/>
      <c r="E66" s="15">
        <f t="shared" si="0"/>
        <v>0</v>
      </c>
      <c r="F66" s="74">
        <f t="shared" si="1"/>
        <v>0</v>
      </c>
    </row>
    <row r="67" spans="2:6" x14ac:dyDescent="0.2">
      <c r="B67" s="17"/>
      <c r="C67" s="17"/>
      <c r="E67" s="15">
        <f t="shared" si="0"/>
        <v>0</v>
      </c>
      <c r="F67" s="74">
        <f t="shared" si="1"/>
        <v>0</v>
      </c>
    </row>
    <row r="68" spans="2:6" x14ac:dyDescent="0.2">
      <c r="B68" s="17"/>
      <c r="C68" s="17"/>
      <c r="E68" s="15">
        <f t="shared" ref="E68:E79" si="3">B68/10</f>
        <v>0</v>
      </c>
      <c r="F68" s="74">
        <f t="shared" ref="F68:F79" si="4">(C68/100)*10^-8</f>
        <v>0</v>
      </c>
    </row>
    <row r="69" spans="2:6" x14ac:dyDescent="0.2">
      <c r="B69" s="17"/>
      <c r="C69" s="17"/>
      <c r="E69" s="15">
        <f t="shared" si="3"/>
        <v>0</v>
      </c>
      <c r="F69" s="74">
        <f t="shared" si="4"/>
        <v>0</v>
      </c>
    </row>
    <row r="70" spans="2:6" x14ac:dyDescent="0.2">
      <c r="B70" s="17"/>
      <c r="C70" s="17"/>
      <c r="E70" s="15">
        <f t="shared" si="3"/>
        <v>0</v>
      </c>
      <c r="F70" s="74">
        <f t="shared" si="4"/>
        <v>0</v>
      </c>
    </row>
    <row r="71" spans="2:6" x14ac:dyDescent="0.2">
      <c r="B71" s="17"/>
      <c r="C71" s="17"/>
      <c r="E71" s="15">
        <f t="shared" si="3"/>
        <v>0</v>
      </c>
      <c r="F71" s="74">
        <f t="shared" si="4"/>
        <v>0</v>
      </c>
    </row>
    <row r="72" spans="2:6" x14ac:dyDescent="0.2">
      <c r="B72" s="17"/>
      <c r="C72" s="17"/>
      <c r="E72" s="15">
        <f t="shared" si="3"/>
        <v>0</v>
      </c>
      <c r="F72" s="74">
        <f t="shared" si="4"/>
        <v>0</v>
      </c>
    </row>
    <row r="73" spans="2:6" x14ac:dyDescent="0.2">
      <c r="B73" s="17"/>
      <c r="C73" s="17"/>
      <c r="E73" s="15">
        <f t="shared" si="3"/>
        <v>0</v>
      </c>
      <c r="F73" s="74">
        <f t="shared" si="4"/>
        <v>0</v>
      </c>
    </row>
    <row r="74" spans="2:6" x14ac:dyDescent="0.2">
      <c r="B74" s="17"/>
      <c r="C74" s="17"/>
      <c r="E74" s="15">
        <f t="shared" si="3"/>
        <v>0</v>
      </c>
      <c r="F74" s="74">
        <f t="shared" si="4"/>
        <v>0</v>
      </c>
    </row>
    <row r="75" spans="2:6" x14ac:dyDescent="0.2">
      <c r="B75" s="17"/>
      <c r="C75" s="17"/>
      <c r="E75" s="15">
        <f t="shared" si="3"/>
        <v>0</v>
      </c>
      <c r="F75" s="74">
        <f t="shared" si="4"/>
        <v>0</v>
      </c>
    </row>
    <row r="76" spans="2:6" x14ac:dyDescent="0.2">
      <c r="B76" s="17"/>
      <c r="C76" s="17"/>
      <c r="E76" s="15">
        <f t="shared" si="3"/>
        <v>0</v>
      </c>
      <c r="F76" s="74">
        <f t="shared" si="4"/>
        <v>0</v>
      </c>
    </row>
    <row r="77" spans="2:6" x14ac:dyDescent="0.2">
      <c r="B77" s="17"/>
      <c r="C77" s="17"/>
      <c r="E77" s="15">
        <f t="shared" si="3"/>
        <v>0</v>
      </c>
      <c r="F77" s="74">
        <f t="shared" si="4"/>
        <v>0</v>
      </c>
    </row>
    <row r="78" spans="2:6" x14ac:dyDescent="0.2">
      <c r="B78" s="17"/>
      <c r="C78" s="17"/>
      <c r="E78" s="15">
        <f t="shared" si="3"/>
        <v>0</v>
      </c>
      <c r="F78" s="74">
        <f t="shared" si="4"/>
        <v>0</v>
      </c>
    </row>
    <row r="79" spans="2:6" x14ac:dyDescent="0.2">
      <c r="B79" s="17"/>
      <c r="C79" s="17"/>
      <c r="E79" s="15">
        <f t="shared" si="3"/>
        <v>0</v>
      </c>
      <c r="F79" s="74">
        <f t="shared" si="4"/>
        <v>0</v>
      </c>
    </row>
  </sheetData>
  <mergeCells count="2">
    <mergeCell ref="E2:F2"/>
    <mergeCell ref="O50:O5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C5:M45"/>
  <sheetViews>
    <sheetView zoomScale="55" zoomScaleNormal="55" zoomScalePageLayoutView="55" workbookViewId="0">
      <selection activeCell="J50" sqref="J50"/>
    </sheetView>
  </sheetViews>
  <sheetFormatPr baseColWidth="10" defaultColWidth="11.5" defaultRowHeight="16" x14ac:dyDescent="0.2"/>
  <cols>
    <col min="1" max="1" width="9" style="77" customWidth="1"/>
    <col min="2" max="8" width="11.5" style="77"/>
    <col min="9" max="9" width="9.5" style="77" customWidth="1"/>
    <col min="10" max="10" width="12.5" style="77" customWidth="1"/>
    <col min="11" max="11" width="11.5" style="77" customWidth="1"/>
    <col min="12" max="12" width="17" style="77" customWidth="1"/>
    <col min="13" max="16384" width="11.5" style="77"/>
  </cols>
  <sheetData>
    <row r="5" spans="3:12" x14ac:dyDescent="0.2">
      <c r="C5" s="179" t="s">
        <v>211</v>
      </c>
      <c r="D5" s="77" t="s">
        <v>212</v>
      </c>
      <c r="E5" s="77" t="s">
        <v>213</v>
      </c>
      <c r="F5" s="77" t="s">
        <v>214</v>
      </c>
      <c r="G5" s="77" t="s">
        <v>215</v>
      </c>
      <c r="H5" s="179" t="s">
        <v>217</v>
      </c>
      <c r="I5" s="179" t="s">
        <v>219</v>
      </c>
      <c r="J5" s="179" t="s">
        <v>220</v>
      </c>
      <c r="K5" s="179" t="s">
        <v>221</v>
      </c>
      <c r="L5" s="78" t="s">
        <v>222</v>
      </c>
    </row>
    <row r="6" spans="3:12" x14ac:dyDescent="0.2">
      <c r="C6" s="179"/>
      <c r="D6" s="79" t="s">
        <v>223</v>
      </c>
      <c r="E6" s="79" t="s">
        <v>224</v>
      </c>
      <c r="F6" s="79" t="s">
        <v>225</v>
      </c>
      <c r="G6" s="79" t="s">
        <v>226</v>
      </c>
      <c r="H6" s="179"/>
      <c r="I6" s="179"/>
      <c r="J6" s="179"/>
      <c r="K6" s="179"/>
      <c r="L6" s="78">
        <v>3.78</v>
      </c>
    </row>
    <row r="7" spans="3:12" x14ac:dyDescent="0.2">
      <c r="C7" s="80">
        <v>1</v>
      </c>
      <c r="D7" s="96"/>
      <c r="E7" s="96"/>
      <c r="F7" s="96"/>
      <c r="G7" s="96"/>
      <c r="H7" s="80">
        <f>(ABS(D7)+ABS(E7)+ABS(F7)+ABS(G7))/4</f>
        <v>0</v>
      </c>
      <c r="I7" s="81">
        <f>(H7/1000*$L$8/1000)/(C7/1000*$L$6/10*$L$10)</f>
        <v>0</v>
      </c>
      <c r="J7" s="180">
        <f>AVERAGE(I7:I13)</f>
        <v>0</v>
      </c>
      <c r="K7" s="181">
        <f>J7/($L$8/1000)</f>
        <v>0</v>
      </c>
      <c r="L7" s="78" t="s">
        <v>185</v>
      </c>
    </row>
    <row r="8" spans="3:12" x14ac:dyDescent="0.2">
      <c r="C8" s="80">
        <v>1.5</v>
      </c>
      <c r="D8" s="96"/>
      <c r="E8" s="96"/>
      <c r="F8" s="96"/>
      <c r="G8" s="96"/>
      <c r="H8" s="80">
        <f t="shared" ref="H8:H13" si="0">(ABS(D8)+ABS(E8)+ABS(F8)+ABS(G8))/4</f>
        <v>0</v>
      </c>
      <c r="I8" s="81">
        <f t="shared" ref="I8:I13" si="1">(H8/1000*$L$8/1000)/(C8/1000*$L$6/10*$L$10)</f>
        <v>0</v>
      </c>
      <c r="J8" s="180"/>
      <c r="K8" s="181"/>
      <c r="L8" s="78">
        <v>0.5</v>
      </c>
    </row>
    <row r="9" spans="3:12" x14ac:dyDescent="0.2">
      <c r="C9" s="80">
        <v>2</v>
      </c>
      <c r="D9" s="96"/>
      <c r="E9" s="96"/>
      <c r="F9" s="96"/>
      <c r="G9" s="96"/>
      <c r="H9" s="80">
        <f t="shared" si="0"/>
        <v>0</v>
      </c>
      <c r="I9" s="81">
        <f t="shared" si="1"/>
        <v>0</v>
      </c>
      <c r="J9" s="180"/>
      <c r="K9" s="181"/>
      <c r="L9" s="78" t="s">
        <v>227</v>
      </c>
    </row>
    <row r="10" spans="3:12" x14ac:dyDescent="0.2">
      <c r="C10" s="80">
        <v>1.5</v>
      </c>
      <c r="D10" s="96"/>
      <c r="E10" s="96"/>
      <c r="F10" s="96"/>
      <c r="G10" s="96"/>
      <c r="H10" s="80">
        <f t="shared" si="0"/>
        <v>0</v>
      </c>
      <c r="I10" s="81">
        <f t="shared" si="1"/>
        <v>0</v>
      </c>
      <c r="J10" s="180"/>
      <c r="K10" s="181"/>
      <c r="L10" s="78">
        <v>0.5</v>
      </c>
    </row>
    <row r="11" spans="3:12" x14ac:dyDescent="0.2">
      <c r="C11" s="80">
        <v>3</v>
      </c>
      <c r="D11" s="96"/>
      <c r="E11" s="96"/>
      <c r="F11" s="96"/>
      <c r="G11" s="96"/>
      <c r="H11" s="80">
        <f t="shared" si="0"/>
        <v>0</v>
      </c>
      <c r="I11" s="81">
        <f t="shared" si="1"/>
        <v>0</v>
      </c>
      <c r="J11" s="180"/>
      <c r="K11" s="181"/>
    </row>
    <row r="12" spans="3:12" x14ac:dyDescent="0.2">
      <c r="C12" s="80">
        <v>3.5</v>
      </c>
      <c r="D12" s="96"/>
      <c r="E12" s="96"/>
      <c r="F12" s="96"/>
      <c r="G12" s="96"/>
      <c r="H12" s="80">
        <f t="shared" si="0"/>
        <v>0</v>
      </c>
      <c r="I12" s="81">
        <f t="shared" si="1"/>
        <v>0</v>
      </c>
      <c r="J12" s="180"/>
      <c r="K12" s="181"/>
    </row>
    <row r="13" spans="3:12" x14ac:dyDescent="0.2">
      <c r="C13" s="80">
        <v>4</v>
      </c>
      <c r="D13" s="96"/>
      <c r="E13" s="96"/>
      <c r="F13" s="96"/>
      <c r="G13" s="96"/>
      <c r="H13" s="80">
        <f t="shared" si="0"/>
        <v>0</v>
      </c>
      <c r="I13" s="81">
        <f t="shared" si="1"/>
        <v>0</v>
      </c>
      <c r="J13" s="180"/>
      <c r="K13" s="181"/>
    </row>
    <row r="18" spans="3:13" x14ac:dyDescent="0.2">
      <c r="C18" s="179" t="s">
        <v>228</v>
      </c>
      <c r="D18" s="77" t="s">
        <v>229</v>
      </c>
      <c r="E18" s="77" t="s">
        <v>213</v>
      </c>
      <c r="F18" s="77" t="s">
        <v>214</v>
      </c>
      <c r="G18" s="77" t="s">
        <v>215</v>
      </c>
      <c r="H18" s="179" t="s">
        <v>216</v>
      </c>
      <c r="I18" s="179" t="s">
        <v>218</v>
      </c>
      <c r="J18" s="179" t="s">
        <v>220</v>
      </c>
      <c r="K18" s="179" t="s">
        <v>221</v>
      </c>
      <c r="L18" s="78" t="s">
        <v>230</v>
      </c>
    </row>
    <row r="19" spans="3:13" x14ac:dyDescent="0.2">
      <c r="C19" s="179"/>
      <c r="D19" s="79" t="s">
        <v>223</v>
      </c>
      <c r="E19" s="79" t="s">
        <v>224</v>
      </c>
      <c r="F19" s="79" t="s">
        <v>225</v>
      </c>
      <c r="G19" s="79" t="s">
        <v>226</v>
      </c>
      <c r="H19" s="179"/>
      <c r="I19" s="179"/>
      <c r="J19" s="179"/>
      <c r="K19" s="179"/>
      <c r="L19" s="78">
        <v>3.78</v>
      </c>
    </row>
    <row r="20" spans="3:13" x14ac:dyDescent="0.2">
      <c r="C20" s="80">
        <v>0.3</v>
      </c>
      <c r="D20" s="96"/>
      <c r="E20" s="96"/>
      <c r="F20" s="96"/>
      <c r="G20" s="96"/>
      <c r="H20" s="80">
        <f>(ABS(D20)+ABS(E20)+ABS(F20)+ABS(G20))/4</f>
        <v>0</v>
      </c>
      <c r="I20" s="81">
        <f>(H20/1000*$L$21/1000)/($L$23/1000*C20*$L$19/10)</f>
        <v>0</v>
      </c>
      <c r="J20" s="180">
        <f>AVERAGE(I20:I26)</f>
        <v>0</v>
      </c>
      <c r="K20" s="181">
        <f>J20/($L$8/1000)</f>
        <v>0</v>
      </c>
      <c r="L20" s="78" t="s">
        <v>185</v>
      </c>
    </row>
    <row r="21" spans="3:13" x14ac:dyDescent="0.2">
      <c r="C21" s="80">
        <v>0.4</v>
      </c>
      <c r="D21" s="96"/>
      <c r="E21" s="96"/>
      <c r="F21" s="96"/>
      <c r="G21" s="96"/>
      <c r="H21" s="80">
        <f t="shared" ref="H21:H24" si="2">(ABS(D21)+ABS(E21)+ABS(F21)+ABS(G21))/4</f>
        <v>0</v>
      </c>
      <c r="I21" s="81">
        <f>(H21/1000*$L$21/1000)/($L$23/1000*C21*$L$19/10)</f>
        <v>0</v>
      </c>
      <c r="J21" s="180"/>
      <c r="K21" s="181"/>
      <c r="L21" s="78">
        <v>0.5</v>
      </c>
    </row>
    <row r="22" spans="3:13" x14ac:dyDescent="0.2">
      <c r="C22" s="80">
        <v>0.5</v>
      </c>
      <c r="D22" s="96"/>
      <c r="E22" s="96"/>
      <c r="F22" s="96"/>
      <c r="G22" s="96"/>
      <c r="H22" s="80">
        <f t="shared" si="2"/>
        <v>0</v>
      </c>
      <c r="I22" s="81">
        <f>(H22/1000*$L$21/1000)/($L$23/1000*C22*$L$19/10)</f>
        <v>0</v>
      </c>
      <c r="J22" s="180"/>
      <c r="K22" s="181"/>
      <c r="L22" s="78" t="s">
        <v>211</v>
      </c>
    </row>
    <row r="23" spans="3:13" x14ac:dyDescent="0.2">
      <c r="C23" s="80">
        <v>0.6</v>
      </c>
      <c r="D23" s="96"/>
      <c r="E23" s="96"/>
      <c r="F23" s="96"/>
      <c r="G23" s="96"/>
      <c r="H23" s="80">
        <f t="shared" si="2"/>
        <v>0</v>
      </c>
      <c r="I23" s="81">
        <f>(H23/1000*$L$21/1000)/($L$23/1000*C23*$L$19/10)</f>
        <v>0</v>
      </c>
      <c r="J23" s="180"/>
      <c r="K23" s="181"/>
      <c r="L23" s="78">
        <v>3</v>
      </c>
    </row>
    <row r="24" spans="3:13" x14ac:dyDescent="0.2">
      <c r="C24" s="80">
        <v>0.7</v>
      </c>
      <c r="D24" s="96"/>
      <c r="E24" s="96"/>
      <c r="F24" s="96"/>
      <c r="G24" s="96"/>
      <c r="H24" s="80">
        <f t="shared" si="2"/>
        <v>0</v>
      </c>
      <c r="I24" s="81">
        <f>(H24/1000*$L$21/1000)/($L$23/1000*C24*$L$19/10)</f>
        <v>0</v>
      </c>
      <c r="J24" s="180"/>
      <c r="K24" s="181"/>
    </row>
    <row r="25" spans="3:13" x14ac:dyDescent="0.2">
      <c r="J25" s="82"/>
      <c r="K25" s="83"/>
      <c r="L25" s="84" t="s">
        <v>231</v>
      </c>
      <c r="M25" s="84" t="s">
        <v>221</v>
      </c>
    </row>
    <row r="26" spans="3:13" x14ac:dyDescent="0.2">
      <c r="J26" s="82"/>
      <c r="K26" s="83"/>
      <c r="L26" s="85">
        <f>AVERAGE(J7,J20)</f>
        <v>0</v>
      </c>
      <c r="M26" s="86">
        <f>L26/(L21/1000)</f>
        <v>0</v>
      </c>
    </row>
    <row r="27" spans="3:13" x14ac:dyDescent="0.2">
      <c r="C27" s="179" t="s">
        <v>232</v>
      </c>
      <c r="D27" s="179" t="s">
        <v>233</v>
      </c>
      <c r="E27" s="179" t="s">
        <v>234</v>
      </c>
      <c r="F27" s="77" t="s">
        <v>235</v>
      </c>
      <c r="G27" s="77" t="s">
        <v>213</v>
      </c>
      <c r="H27" s="77" t="s">
        <v>214</v>
      </c>
      <c r="I27" s="77" t="s">
        <v>215</v>
      </c>
      <c r="J27" s="179" t="s">
        <v>216</v>
      </c>
      <c r="K27" s="179" t="s">
        <v>236</v>
      </c>
      <c r="L27" s="78" t="s">
        <v>237</v>
      </c>
    </row>
    <row r="28" spans="3:13" x14ac:dyDescent="0.2">
      <c r="C28" s="179"/>
      <c r="D28" s="179"/>
      <c r="E28" s="179"/>
      <c r="F28" s="79" t="s">
        <v>223</v>
      </c>
      <c r="G28" s="79" t="s">
        <v>224</v>
      </c>
      <c r="H28" s="79" t="s">
        <v>225</v>
      </c>
      <c r="I28" s="79" t="s">
        <v>226</v>
      </c>
      <c r="J28" s="179"/>
      <c r="K28" s="179"/>
      <c r="L28" s="78">
        <v>2.0699999999999998</v>
      </c>
    </row>
    <row r="29" spans="3:13" x14ac:dyDescent="0.2">
      <c r="C29" s="87">
        <v>0</v>
      </c>
      <c r="D29" s="87">
        <v>0</v>
      </c>
      <c r="E29" s="87">
        <f>14-SUM(C29:D29)</f>
        <v>14</v>
      </c>
      <c r="F29" s="96"/>
      <c r="G29" s="96"/>
      <c r="H29" s="96"/>
      <c r="I29" s="96"/>
      <c r="J29" s="80">
        <f>(ABS(F29)+ABS(G29)+ABS(H29)+ABS(I29))/4</f>
        <v>0</v>
      </c>
      <c r="K29" s="88">
        <f>$L$28*J29/$L$30*1000</f>
        <v>0</v>
      </c>
      <c r="L29" s="78" t="s">
        <v>211</v>
      </c>
    </row>
    <row r="30" spans="3:13" x14ac:dyDescent="0.2">
      <c r="C30" s="87">
        <v>0.5</v>
      </c>
      <c r="D30" s="87">
        <v>0</v>
      </c>
      <c r="E30" s="87">
        <f t="shared" ref="E30:E45" si="3">14-SUM(C30:D30)</f>
        <v>13.5</v>
      </c>
      <c r="F30" s="96"/>
      <c r="G30" s="96"/>
      <c r="H30" s="96"/>
      <c r="I30" s="96"/>
      <c r="J30" s="80">
        <f t="shared" ref="J30:J45" si="4">(ABS(F30)+ABS(G30)+ABS(H30)+ABS(I30))/4</f>
        <v>0</v>
      </c>
      <c r="K30" s="88">
        <f t="shared" ref="K30:K45" si="5">$L$28*J30/$L$30*1000</f>
        <v>0</v>
      </c>
      <c r="L30" s="78">
        <v>6</v>
      </c>
    </row>
    <row r="31" spans="3:13" x14ac:dyDescent="0.2">
      <c r="C31" s="87">
        <v>1</v>
      </c>
      <c r="D31" s="87">
        <v>0</v>
      </c>
      <c r="E31" s="87">
        <f t="shared" si="3"/>
        <v>13</v>
      </c>
      <c r="F31" s="96"/>
      <c r="G31" s="96"/>
      <c r="H31" s="96"/>
      <c r="I31" s="96"/>
      <c r="J31" s="80">
        <f t="shared" si="4"/>
        <v>0</v>
      </c>
      <c r="K31" s="88">
        <f t="shared" si="5"/>
        <v>0</v>
      </c>
      <c r="L31" s="78" t="s">
        <v>238</v>
      </c>
    </row>
    <row r="32" spans="3:13" x14ac:dyDescent="0.2">
      <c r="C32" s="87">
        <v>1.5</v>
      </c>
      <c r="D32" s="87">
        <v>0</v>
      </c>
      <c r="E32" s="87">
        <f t="shared" si="3"/>
        <v>12.5</v>
      </c>
      <c r="F32" s="96"/>
      <c r="G32" s="96"/>
      <c r="H32" s="96"/>
      <c r="I32" s="96"/>
      <c r="J32" s="80">
        <f t="shared" si="4"/>
        <v>0</v>
      </c>
      <c r="K32" s="88">
        <f t="shared" si="5"/>
        <v>0</v>
      </c>
      <c r="L32" s="78">
        <v>0.6</v>
      </c>
    </row>
    <row r="33" spans="3:11" x14ac:dyDescent="0.2">
      <c r="C33" s="87">
        <v>2</v>
      </c>
      <c r="D33" s="87">
        <v>0</v>
      </c>
      <c r="E33" s="87">
        <f t="shared" si="3"/>
        <v>12</v>
      </c>
      <c r="F33" s="96"/>
      <c r="G33" s="96"/>
      <c r="H33" s="96"/>
      <c r="I33" s="96"/>
      <c r="J33" s="80">
        <f t="shared" si="4"/>
        <v>0</v>
      </c>
      <c r="K33" s="88">
        <f t="shared" si="5"/>
        <v>0</v>
      </c>
    </row>
    <row r="34" spans="3:11" x14ac:dyDescent="0.2">
      <c r="C34" s="87">
        <v>5</v>
      </c>
      <c r="D34" s="87">
        <v>0</v>
      </c>
      <c r="E34" s="87">
        <f t="shared" si="3"/>
        <v>9</v>
      </c>
      <c r="F34" s="96"/>
      <c r="G34" s="96"/>
      <c r="H34" s="96"/>
      <c r="I34" s="96"/>
      <c r="J34" s="80">
        <f t="shared" si="4"/>
        <v>0</v>
      </c>
      <c r="K34" s="88">
        <f t="shared" si="5"/>
        <v>0</v>
      </c>
    </row>
    <row r="35" spans="3:11" x14ac:dyDescent="0.2">
      <c r="C35" s="87">
        <v>8</v>
      </c>
      <c r="D35" s="87">
        <v>0</v>
      </c>
      <c r="E35" s="87">
        <f t="shared" si="3"/>
        <v>6</v>
      </c>
      <c r="F35" s="96"/>
      <c r="G35" s="96"/>
      <c r="H35" s="96"/>
      <c r="I35" s="96"/>
      <c r="J35" s="80">
        <f t="shared" si="4"/>
        <v>0</v>
      </c>
      <c r="K35" s="88">
        <f t="shared" si="5"/>
        <v>0</v>
      </c>
    </row>
    <row r="36" spans="3:11" x14ac:dyDescent="0.2">
      <c r="C36" s="87">
        <v>11</v>
      </c>
      <c r="D36" s="87">
        <v>0</v>
      </c>
      <c r="E36" s="87">
        <f t="shared" si="3"/>
        <v>3</v>
      </c>
      <c r="F36" s="96"/>
      <c r="G36" s="96"/>
      <c r="H36" s="96"/>
      <c r="I36" s="96"/>
      <c r="J36" s="80">
        <f t="shared" si="4"/>
        <v>0</v>
      </c>
      <c r="K36" s="88">
        <f t="shared" si="5"/>
        <v>0</v>
      </c>
    </row>
    <row r="37" spans="3:11" x14ac:dyDescent="0.2">
      <c r="C37" s="87">
        <v>14</v>
      </c>
      <c r="D37" s="87">
        <v>0</v>
      </c>
      <c r="E37" s="87">
        <f t="shared" si="3"/>
        <v>0</v>
      </c>
      <c r="F37" s="96"/>
      <c r="G37" s="96"/>
      <c r="H37" s="96"/>
      <c r="I37" s="96"/>
      <c r="J37" s="80">
        <f t="shared" si="4"/>
        <v>0</v>
      </c>
      <c r="K37" s="88">
        <f t="shared" si="5"/>
        <v>0</v>
      </c>
    </row>
    <row r="38" spans="3:11" x14ac:dyDescent="0.2">
      <c r="C38" s="87">
        <v>14</v>
      </c>
      <c r="D38" s="87">
        <v>3</v>
      </c>
      <c r="E38" s="87">
        <f t="shared" si="3"/>
        <v>-3</v>
      </c>
      <c r="F38" s="96"/>
      <c r="G38" s="96"/>
      <c r="H38" s="96"/>
      <c r="I38" s="96"/>
      <c r="J38" s="80">
        <f t="shared" si="4"/>
        <v>0</v>
      </c>
      <c r="K38" s="88">
        <f t="shared" si="5"/>
        <v>0</v>
      </c>
    </row>
    <row r="39" spans="3:11" x14ac:dyDescent="0.2">
      <c r="C39" s="87">
        <v>14</v>
      </c>
      <c r="D39" s="87">
        <v>6</v>
      </c>
      <c r="E39" s="87">
        <f t="shared" si="3"/>
        <v>-6</v>
      </c>
      <c r="F39" s="96"/>
      <c r="G39" s="96"/>
      <c r="H39" s="96"/>
      <c r="I39" s="96"/>
      <c r="J39" s="80">
        <f t="shared" si="4"/>
        <v>0</v>
      </c>
      <c r="K39" s="88">
        <f t="shared" si="5"/>
        <v>0</v>
      </c>
    </row>
    <row r="40" spans="3:11" x14ac:dyDescent="0.2">
      <c r="C40" s="87">
        <v>14</v>
      </c>
      <c r="D40" s="87">
        <v>9</v>
      </c>
      <c r="E40" s="87">
        <f t="shared" si="3"/>
        <v>-9</v>
      </c>
      <c r="F40" s="96"/>
      <c r="G40" s="96"/>
      <c r="H40" s="96"/>
      <c r="I40" s="96"/>
      <c r="J40" s="80">
        <f t="shared" si="4"/>
        <v>0</v>
      </c>
      <c r="K40" s="88">
        <f t="shared" si="5"/>
        <v>0</v>
      </c>
    </row>
    <row r="41" spans="3:11" x14ac:dyDescent="0.2">
      <c r="C41" s="87">
        <v>14</v>
      </c>
      <c r="D41" s="87">
        <v>12</v>
      </c>
      <c r="E41" s="87">
        <f t="shared" si="3"/>
        <v>-12</v>
      </c>
      <c r="F41" s="96"/>
      <c r="G41" s="96"/>
      <c r="H41" s="96"/>
      <c r="I41" s="96"/>
      <c r="J41" s="80">
        <f t="shared" si="4"/>
        <v>0</v>
      </c>
      <c r="K41" s="88">
        <f t="shared" si="5"/>
        <v>0</v>
      </c>
    </row>
    <row r="42" spans="3:11" x14ac:dyDescent="0.2">
      <c r="C42" s="87">
        <v>14</v>
      </c>
      <c r="D42" s="87">
        <v>12.5</v>
      </c>
      <c r="E42" s="87">
        <f t="shared" si="3"/>
        <v>-12.5</v>
      </c>
      <c r="F42" s="96"/>
      <c r="G42" s="96"/>
      <c r="H42" s="96"/>
      <c r="I42" s="96"/>
      <c r="J42" s="80">
        <f t="shared" si="4"/>
        <v>0</v>
      </c>
      <c r="K42" s="88">
        <f t="shared" si="5"/>
        <v>0</v>
      </c>
    </row>
    <row r="43" spans="3:11" x14ac:dyDescent="0.2">
      <c r="C43" s="87">
        <v>14</v>
      </c>
      <c r="D43" s="87">
        <v>13</v>
      </c>
      <c r="E43" s="87">
        <f t="shared" si="3"/>
        <v>-13</v>
      </c>
      <c r="F43" s="96"/>
      <c r="G43" s="96"/>
      <c r="H43" s="96"/>
      <c r="I43" s="96"/>
      <c r="J43" s="80">
        <f t="shared" si="4"/>
        <v>0</v>
      </c>
      <c r="K43" s="88">
        <f t="shared" si="5"/>
        <v>0</v>
      </c>
    </row>
    <row r="44" spans="3:11" x14ac:dyDescent="0.2">
      <c r="C44" s="87">
        <v>14</v>
      </c>
      <c r="D44" s="87">
        <v>13.5</v>
      </c>
      <c r="E44" s="87">
        <f t="shared" si="3"/>
        <v>-13.5</v>
      </c>
      <c r="F44" s="96"/>
      <c r="G44" s="96"/>
      <c r="H44" s="96"/>
      <c r="I44" s="96"/>
      <c r="J44" s="80">
        <f t="shared" si="4"/>
        <v>0</v>
      </c>
      <c r="K44" s="88">
        <f t="shared" si="5"/>
        <v>0</v>
      </c>
    </row>
    <row r="45" spans="3:11" x14ac:dyDescent="0.2">
      <c r="C45" s="87">
        <v>14</v>
      </c>
      <c r="D45" s="87">
        <v>14</v>
      </c>
      <c r="E45" s="87">
        <f t="shared" si="3"/>
        <v>-14</v>
      </c>
      <c r="F45" s="96"/>
      <c r="G45" s="96"/>
      <c r="H45" s="96"/>
      <c r="I45" s="96"/>
      <c r="J45" s="80">
        <f t="shared" si="4"/>
        <v>0</v>
      </c>
      <c r="K45" s="88">
        <f t="shared" si="5"/>
        <v>0</v>
      </c>
    </row>
  </sheetData>
  <mergeCells count="19">
    <mergeCell ref="J20:J24"/>
    <mergeCell ref="K20:K24"/>
    <mergeCell ref="C5:C6"/>
    <mergeCell ref="H5:H6"/>
    <mergeCell ref="I5:I6"/>
    <mergeCell ref="J5:J6"/>
    <mergeCell ref="K5:K6"/>
    <mergeCell ref="J7:J13"/>
    <mergeCell ref="K7:K13"/>
    <mergeCell ref="C18:C19"/>
    <mergeCell ref="H18:H19"/>
    <mergeCell ref="I18:I19"/>
    <mergeCell ref="J18:J19"/>
    <mergeCell ref="K18:K19"/>
    <mergeCell ref="C27:C28"/>
    <mergeCell ref="D27:D28"/>
    <mergeCell ref="E27:E28"/>
    <mergeCell ref="J27:J28"/>
    <mergeCell ref="K27:K2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C2:I6"/>
  <sheetViews>
    <sheetView workbookViewId="0">
      <selection activeCell="F15" sqref="F15"/>
    </sheetView>
  </sheetViews>
  <sheetFormatPr baseColWidth="10" defaultColWidth="11.6640625" defaultRowHeight="16" x14ac:dyDescent="0.2"/>
  <cols>
    <col min="1" max="1" width="9" style="89" customWidth="1"/>
    <col min="2" max="2" width="11.6640625" style="89"/>
    <col min="3" max="3" width="16" style="89" customWidth="1"/>
    <col min="4" max="16384" width="11.6640625" style="89"/>
  </cols>
  <sheetData>
    <row r="2" spans="3:9" x14ac:dyDescent="0.2">
      <c r="C2" s="182" t="s">
        <v>239</v>
      </c>
      <c r="D2" s="182"/>
      <c r="E2" s="182"/>
      <c r="F2" s="182"/>
      <c r="G2" s="182"/>
      <c r="H2" s="182"/>
      <c r="I2" s="182"/>
    </row>
    <row r="3" spans="3:9" x14ac:dyDescent="0.2">
      <c r="C3" s="93" t="s">
        <v>240</v>
      </c>
      <c r="D3" s="91">
        <v>0</v>
      </c>
      <c r="E3" s="91">
        <v>50</v>
      </c>
      <c r="F3" s="91">
        <v>100</v>
      </c>
      <c r="G3" s="91">
        <v>150</v>
      </c>
      <c r="H3" s="91">
        <v>200</v>
      </c>
      <c r="I3" s="91">
        <v>250</v>
      </c>
    </row>
    <row r="4" spans="3:9" x14ac:dyDescent="0.2">
      <c r="C4" s="93" t="s">
        <v>241</v>
      </c>
      <c r="D4" s="95"/>
      <c r="E4" s="95"/>
      <c r="F4" s="95"/>
      <c r="G4" s="95"/>
      <c r="H4" s="95"/>
      <c r="I4" s="95"/>
    </row>
    <row r="5" spans="3:9" x14ac:dyDescent="0.2">
      <c r="C5" s="94" t="s">
        <v>242</v>
      </c>
      <c r="D5" s="92"/>
      <c r="E5" s="92">
        <f>(E4-D4)*2/50/1000*10^9</f>
        <v>0</v>
      </c>
      <c r="F5" s="92">
        <f>(F4-E4)*2/50/1000*10^9</f>
        <v>0</v>
      </c>
      <c r="G5" s="92">
        <f>(G4-F4)*2/50/1000*10^9</f>
        <v>0</v>
      </c>
      <c r="H5" s="92">
        <f>(H4-G4)*2/50/1000*10^9</f>
        <v>0</v>
      </c>
      <c r="I5" s="92">
        <f>(I4-H4)*2/50/1000*10^9</f>
        <v>0</v>
      </c>
    </row>
    <row r="6" spans="3:9" x14ac:dyDescent="0.2">
      <c r="C6" s="94" t="s">
        <v>243</v>
      </c>
      <c r="D6" s="183">
        <f>AVERAGE(E5:I5)</f>
        <v>0</v>
      </c>
      <c r="E6" s="183"/>
      <c r="F6" s="183"/>
      <c r="G6" s="183"/>
      <c r="H6" s="183"/>
      <c r="I6" s="183"/>
    </row>
  </sheetData>
  <mergeCells count="2">
    <mergeCell ref="C2:I2"/>
    <mergeCell ref="D6:I6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B2:P33"/>
  <sheetViews>
    <sheetView zoomScale="55" zoomScaleNormal="55" zoomScalePageLayoutView="55" workbookViewId="0">
      <selection activeCell="F38" sqref="F38"/>
    </sheetView>
  </sheetViews>
  <sheetFormatPr baseColWidth="10" defaultColWidth="11.5" defaultRowHeight="16" x14ac:dyDescent="0.2"/>
  <cols>
    <col min="1" max="1" width="11.5" style="90"/>
    <col min="2" max="2" width="14.33203125" style="90" customWidth="1"/>
    <col min="3" max="3" width="20.33203125" style="90" customWidth="1"/>
    <col min="4" max="8" width="11.5" style="90"/>
    <col min="9" max="9" width="23.6640625" style="90" customWidth="1"/>
    <col min="10" max="16384" width="11.5" style="90"/>
  </cols>
  <sheetData>
    <row r="2" spans="4:16" x14ac:dyDescent="0.2">
      <c r="J2" s="184" t="s">
        <v>268</v>
      </c>
      <c r="K2" s="97"/>
      <c r="L2" s="97"/>
      <c r="M2" s="98"/>
      <c r="N2" s="97"/>
      <c r="O2" s="97"/>
    </row>
    <row r="3" spans="4:16" x14ac:dyDescent="0.2">
      <c r="J3" s="185"/>
      <c r="K3" s="97"/>
      <c r="L3" s="97"/>
      <c r="M3" s="98"/>
      <c r="N3" s="97"/>
      <c r="O3" s="97"/>
    </row>
    <row r="4" spans="4:16" x14ac:dyDescent="0.2">
      <c r="D4" s="99"/>
      <c r="J4" s="185"/>
      <c r="K4" s="97"/>
      <c r="L4" s="97"/>
      <c r="M4" s="98"/>
      <c r="N4" s="97"/>
      <c r="O4" s="97"/>
    </row>
    <row r="5" spans="4:16" x14ac:dyDescent="0.2">
      <c r="J5" s="185"/>
      <c r="K5" s="97"/>
      <c r="L5" s="97"/>
      <c r="M5" s="98"/>
      <c r="N5" s="97"/>
      <c r="O5" s="97"/>
    </row>
    <row r="6" spans="4:16" x14ac:dyDescent="0.2">
      <c r="J6" s="185"/>
      <c r="K6" s="97"/>
      <c r="L6" s="97"/>
      <c r="M6" s="98"/>
      <c r="N6" s="97"/>
      <c r="O6" s="97"/>
    </row>
    <row r="7" spans="4:16" x14ac:dyDescent="0.2">
      <c r="J7" s="185"/>
      <c r="K7" s="97"/>
      <c r="L7" s="97"/>
      <c r="M7" s="98"/>
      <c r="N7" s="97"/>
      <c r="O7" s="97"/>
    </row>
    <row r="9" spans="4:16" x14ac:dyDescent="0.2">
      <c r="L9" s="100">
        <f t="shared" ref="L9:L14" si="0">((((L2-K2)/1000)/6)*2)*$I$23</f>
        <v>0</v>
      </c>
      <c r="M9" s="100"/>
      <c r="N9" s="100"/>
      <c r="O9" s="100">
        <f t="shared" ref="O9:O14" si="1">((((O2-N2)/1000)/6)*2)*$I$23</f>
        <v>0</v>
      </c>
    </row>
    <row r="10" spans="4:16" x14ac:dyDescent="0.2">
      <c r="L10" s="100">
        <f t="shared" si="0"/>
        <v>0</v>
      </c>
      <c r="M10" s="100"/>
      <c r="N10" s="100"/>
      <c r="O10" s="100">
        <f t="shared" si="1"/>
        <v>0</v>
      </c>
    </row>
    <row r="11" spans="4:16" x14ac:dyDescent="0.2">
      <c r="L11" s="100">
        <f t="shared" si="0"/>
        <v>0</v>
      </c>
      <c r="M11" s="100"/>
      <c r="N11" s="100"/>
      <c r="O11" s="100">
        <f t="shared" si="1"/>
        <v>0</v>
      </c>
    </row>
    <row r="12" spans="4:16" x14ac:dyDescent="0.2">
      <c r="L12" s="100">
        <f t="shared" si="0"/>
        <v>0</v>
      </c>
      <c r="M12" s="100"/>
      <c r="N12" s="100"/>
      <c r="O12" s="100">
        <f t="shared" si="1"/>
        <v>0</v>
      </c>
    </row>
    <row r="13" spans="4:16" x14ac:dyDescent="0.2">
      <c r="L13" s="100">
        <f t="shared" si="0"/>
        <v>0</v>
      </c>
      <c r="M13" s="100"/>
      <c r="N13" s="100"/>
      <c r="O13" s="100">
        <f t="shared" si="1"/>
        <v>0</v>
      </c>
    </row>
    <row r="14" spans="4:16" x14ac:dyDescent="0.2">
      <c r="L14" s="100">
        <f t="shared" si="0"/>
        <v>0</v>
      </c>
      <c r="M14" s="100"/>
      <c r="N14" s="100"/>
      <c r="O14" s="100">
        <f t="shared" si="1"/>
        <v>0</v>
      </c>
    </row>
    <row r="15" spans="4:16" x14ac:dyDescent="0.2">
      <c r="K15" s="90" t="s">
        <v>244</v>
      </c>
      <c r="M15" s="101">
        <f>AVERAGE(L9:L14)</f>
        <v>0</v>
      </c>
      <c r="P15" s="101">
        <f>AVERAGE(O9:O14)</f>
        <v>0</v>
      </c>
    </row>
    <row r="19" spans="2:14" x14ac:dyDescent="0.2">
      <c r="I19" s="100"/>
      <c r="J19" s="100"/>
      <c r="K19" s="100"/>
      <c r="L19" s="100"/>
    </row>
    <row r="20" spans="2:14" x14ac:dyDescent="0.2">
      <c r="I20" s="100"/>
      <c r="J20" s="100"/>
      <c r="K20" s="100"/>
      <c r="L20" s="100"/>
      <c r="N20" s="102"/>
    </row>
    <row r="21" spans="2:14" x14ac:dyDescent="0.2">
      <c r="B21" s="186"/>
      <c r="C21" s="186"/>
      <c r="D21" s="186"/>
      <c r="E21" s="103"/>
      <c r="F21" s="186"/>
      <c r="G21" s="186"/>
      <c r="H21" s="104"/>
    </row>
    <row r="22" spans="2:14" x14ac:dyDescent="0.2">
      <c r="B22" s="187" t="s">
        <v>245</v>
      </c>
      <c r="C22" s="187"/>
      <c r="D22" s="187"/>
      <c r="E22" s="187"/>
      <c r="F22" s="187"/>
      <c r="G22" s="187"/>
      <c r="H22" s="187"/>
      <c r="I22" s="104" t="s">
        <v>246</v>
      </c>
      <c r="J22" s="104" t="s">
        <v>247</v>
      </c>
      <c r="K22" s="104"/>
    </row>
    <row r="23" spans="2:14" x14ac:dyDescent="0.2">
      <c r="B23" s="90" t="s">
        <v>248</v>
      </c>
      <c r="C23" s="90" t="s">
        <v>249</v>
      </c>
      <c r="D23" s="90" t="s">
        <v>250</v>
      </c>
      <c r="E23" s="90" t="s">
        <v>249</v>
      </c>
      <c r="F23" s="90" t="s">
        <v>250</v>
      </c>
      <c r="G23" s="90" t="s">
        <v>251</v>
      </c>
      <c r="H23" s="90" t="s">
        <v>250</v>
      </c>
      <c r="I23" s="188">
        <v>37660</v>
      </c>
      <c r="J23" s="189">
        <v>22</v>
      </c>
    </row>
    <row r="24" spans="2:14" x14ac:dyDescent="0.2">
      <c r="B24" s="104" t="s">
        <v>252</v>
      </c>
      <c r="C24" s="104" t="s">
        <v>253</v>
      </c>
      <c r="D24" s="104" t="s">
        <v>254</v>
      </c>
      <c r="E24" s="104" t="s">
        <v>255</v>
      </c>
      <c r="F24" s="104" t="s">
        <v>256</v>
      </c>
      <c r="G24" s="104" t="s">
        <v>257</v>
      </c>
      <c r="H24" s="104" t="s">
        <v>258</v>
      </c>
      <c r="I24" s="188"/>
      <c r="J24" s="189"/>
    </row>
    <row r="25" spans="2:14" x14ac:dyDescent="0.2">
      <c r="B25" s="104" t="s">
        <v>259</v>
      </c>
      <c r="C25" s="105"/>
      <c r="D25" s="105"/>
      <c r="E25" s="105"/>
      <c r="F25" s="105"/>
      <c r="G25" s="105"/>
      <c r="H25" s="105"/>
      <c r="I25" s="188"/>
      <c r="J25" s="189"/>
    </row>
    <row r="26" spans="2:14" x14ac:dyDescent="0.2">
      <c r="B26" s="90" t="s">
        <v>248</v>
      </c>
      <c r="C26" s="90" t="s">
        <v>251</v>
      </c>
      <c r="D26" s="90" t="s">
        <v>250</v>
      </c>
      <c r="E26" s="90" t="s">
        <v>251</v>
      </c>
      <c r="F26" s="90" t="s">
        <v>260</v>
      </c>
      <c r="G26" s="90" t="s">
        <v>251</v>
      </c>
      <c r="H26" s="90" t="s">
        <v>250</v>
      </c>
      <c r="I26" s="188"/>
      <c r="J26" s="189"/>
    </row>
    <row r="27" spans="2:14" x14ac:dyDescent="0.2">
      <c r="B27" s="104" t="s">
        <v>252</v>
      </c>
      <c r="C27" s="104" t="s">
        <v>261</v>
      </c>
      <c r="D27" s="104" t="s">
        <v>262</v>
      </c>
      <c r="E27" s="104" t="s">
        <v>263</v>
      </c>
      <c r="F27" s="104" t="s">
        <v>264</v>
      </c>
      <c r="G27" s="104" t="s">
        <v>265</v>
      </c>
      <c r="H27" s="104" t="s">
        <v>266</v>
      </c>
      <c r="I27" s="188"/>
      <c r="J27" s="189"/>
    </row>
    <row r="28" spans="2:14" x14ac:dyDescent="0.2">
      <c r="B28" s="104" t="s">
        <v>259</v>
      </c>
      <c r="C28" s="105"/>
      <c r="D28" s="105"/>
      <c r="E28" s="105"/>
      <c r="F28" s="105"/>
      <c r="G28" s="105"/>
      <c r="H28" s="105"/>
      <c r="I28" s="188"/>
      <c r="J28" s="189"/>
    </row>
    <row r="29" spans="2:14" x14ac:dyDescent="0.2">
      <c r="B29" s="187" t="s">
        <v>267</v>
      </c>
      <c r="C29" s="187"/>
      <c r="D29" s="187"/>
      <c r="E29" s="187"/>
      <c r="F29" s="187"/>
      <c r="G29" s="187"/>
      <c r="H29" s="187"/>
      <c r="I29" s="188"/>
      <c r="J29" s="189"/>
    </row>
    <row r="30" spans="2:14" x14ac:dyDescent="0.2">
      <c r="B30" s="104" t="s">
        <v>252</v>
      </c>
      <c r="C30" s="104" t="s">
        <v>253</v>
      </c>
      <c r="D30" s="104" t="s">
        <v>254</v>
      </c>
      <c r="E30" s="104" t="s">
        <v>255</v>
      </c>
      <c r="F30" s="104" t="s">
        <v>256</v>
      </c>
      <c r="G30" s="104" t="s">
        <v>257</v>
      </c>
      <c r="H30" s="104" t="s">
        <v>258</v>
      </c>
      <c r="I30" s="188"/>
      <c r="J30" s="189"/>
    </row>
    <row r="31" spans="2:14" x14ac:dyDescent="0.2">
      <c r="B31" s="104" t="s">
        <v>259</v>
      </c>
      <c r="C31" s="105"/>
      <c r="D31" s="105"/>
      <c r="E31" s="105"/>
      <c r="F31" s="105"/>
      <c r="G31" s="105"/>
      <c r="H31" s="105"/>
      <c r="I31" s="188"/>
      <c r="J31" s="189"/>
    </row>
    <row r="32" spans="2:14" x14ac:dyDescent="0.2">
      <c r="B32" s="104" t="s">
        <v>252</v>
      </c>
      <c r="C32" s="104" t="s">
        <v>261</v>
      </c>
      <c r="D32" s="104" t="s">
        <v>262</v>
      </c>
      <c r="E32" s="104" t="s">
        <v>263</v>
      </c>
      <c r="F32" s="104" t="s">
        <v>264</v>
      </c>
      <c r="G32" s="104" t="s">
        <v>265</v>
      </c>
      <c r="H32" s="104" t="s">
        <v>266</v>
      </c>
      <c r="I32" s="188"/>
      <c r="J32" s="189"/>
    </row>
    <row r="33" spans="2:10" x14ac:dyDescent="0.2">
      <c r="B33" s="104" t="s">
        <v>259</v>
      </c>
      <c r="C33" s="105"/>
      <c r="D33" s="105"/>
      <c r="E33" s="105"/>
      <c r="F33" s="105"/>
      <c r="G33" s="105"/>
      <c r="H33" s="105"/>
      <c r="I33" s="188"/>
      <c r="J33" s="189"/>
    </row>
  </sheetData>
  <mergeCells count="7">
    <mergeCell ref="J2:J7"/>
    <mergeCell ref="B21:D21"/>
    <mergeCell ref="F21:G21"/>
    <mergeCell ref="B22:H22"/>
    <mergeCell ref="I23:I33"/>
    <mergeCell ref="J23:J33"/>
    <mergeCell ref="B29:H29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B2:K33"/>
  <sheetViews>
    <sheetView zoomScale="70" zoomScaleNormal="70" zoomScalePageLayoutView="70" workbookViewId="0">
      <selection activeCell="D31" sqref="D31"/>
    </sheetView>
  </sheetViews>
  <sheetFormatPr baseColWidth="10" defaultColWidth="8.83203125" defaultRowHeight="15" x14ac:dyDescent="0.2"/>
  <cols>
    <col min="1" max="8" width="8.83203125" style="14"/>
    <col min="9" max="9" width="10.6640625" style="106" customWidth="1"/>
    <col min="10" max="10" width="8.83203125" style="106"/>
    <col min="11" max="16384" width="8.83203125" style="14"/>
  </cols>
  <sheetData>
    <row r="2" spans="2:11" x14ac:dyDescent="0.2">
      <c r="B2" s="194" t="s">
        <v>290</v>
      </c>
      <c r="C2" s="194"/>
      <c r="D2" s="194"/>
      <c r="E2" s="194"/>
      <c r="F2" s="194"/>
      <c r="G2" s="194"/>
      <c r="I2" s="161" t="s">
        <v>289</v>
      </c>
      <c r="J2" s="161"/>
    </row>
    <row r="3" spans="2:11" x14ac:dyDescent="0.2">
      <c r="B3" s="116" t="s">
        <v>287</v>
      </c>
      <c r="C3" s="116" t="s">
        <v>288</v>
      </c>
      <c r="D3" s="116" t="s">
        <v>285</v>
      </c>
      <c r="E3" s="116" t="s">
        <v>287</v>
      </c>
      <c r="F3" s="116" t="s">
        <v>286</v>
      </c>
      <c r="G3" s="116" t="s">
        <v>285</v>
      </c>
      <c r="I3" s="106" t="s">
        <v>284</v>
      </c>
      <c r="J3" s="161" t="s">
        <v>283</v>
      </c>
      <c r="K3" s="161"/>
    </row>
    <row r="4" spans="2:11" x14ac:dyDescent="0.2">
      <c r="B4" s="110"/>
      <c r="C4" s="109"/>
      <c r="D4" s="108"/>
      <c r="E4" s="114">
        <f t="shared" ref="E4:E14" si="0">B15</f>
        <v>0</v>
      </c>
      <c r="F4" s="113">
        <f t="shared" ref="F4:F14" si="1">C15</f>
        <v>0</v>
      </c>
      <c r="G4" s="108">
        <f t="shared" ref="G4:G14" si="2">D15</f>
        <v>0</v>
      </c>
      <c r="I4" s="111">
        <v>100</v>
      </c>
      <c r="J4" s="117">
        <f t="shared" ref="J4:J25" si="3">$I$24*1000/$I$4/SQRT(2)</f>
        <v>15.365430355183676</v>
      </c>
      <c r="K4" s="190" t="s">
        <v>291</v>
      </c>
    </row>
    <row r="5" spans="2:11" x14ac:dyDescent="0.2">
      <c r="B5" s="110"/>
      <c r="C5" s="109"/>
      <c r="D5" s="108"/>
      <c r="E5" s="114">
        <f t="shared" si="0"/>
        <v>0</v>
      </c>
      <c r="F5" s="113">
        <f t="shared" si="1"/>
        <v>0</v>
      </c>
      <c r="G5" s="108">
        <f t="shared" si="2"/>
        <v>0</v>
      </c>
      <c r="I5" s="106" t="s">
        <v>282</v>
      </c>
      <c r="J5" s="117">
        <f t="shared" si="3"/>
        <v>15.365430355183676</v>
      </c>
      <c r="K5" s="190"/>
    </row>
    <row r="6" spans="2:11" x14ac:dyDescent="0.2">
      <c r="B6" s="110"/>
      <c r="C6" s="109"/>
      <c r="D6" s="108"/>
      <c r="E6" s="114">
        <f t="shared" si="0"/>
        <v>0</v>
      </c>
      <c r="F6" s="113">
        <f t="shared" si="1"/>
        <v>0</v>
      </c>
      <c r="G6" s="108">
        <f t="shared" si="2"/>
        <v>0</v>
      </c>
      <c r="I6" s="115">
        <v>0.1</v>
      </c>
      <c r="J6" s="117">
        <f t="shared" si="3"/>
        <v>15.365430355183676</v>
      </c>
      <c r="K6" s="190"/>
    </row>
    <row r="7" spans="2:11" x14ac:dyDescent="0.2">
      <c r="B7" s="110"/>
      <c r="C7" s="109"/>
      <c r="D7" s="108"/>
      <c r="E7" s="114">
        <f t="shared" si="0"/>
        <v>0</v>
      </c>
      <c r="F7" s="113">
        <f t="shared" si="1"/>
        <v>0</v>
      </c>
      <c r="G7" s="108">
        <f t="shared" si="2"/>
        <v>0</v>
      </c>
      <c r="I7" s="106" t="s">
        <v>281</v>
      </c>
      <c r="J7" s="117">
        <f t="shared" si="3"/>
        <v>15.365430355183676</v>
      </c>
      <c r="K7" s="190"/>
    </row>
    <row r="8" spans="2:11" x14ac:dyDescent="0.2">
      <c r="B8" s="110"/>
      <c r="C8" s="109"/>
      <c r="D8" s="108"/>
      <c r="E8" s="114">
        <f t="shared" si="0"/>
        <v>0</v>
      </c>
      <c r="F8" s="113">
        <f t="shared" si="1"/>
        <v>0</v>
      </c>
      <c r="G8" s="108">
        <f t="shared" si="2"/>
        <v>0</v>
      </c>
      <c r="I8" s="115">
        <v>4.3999999999999997E-8</v>
      </c>
      <c r="J8" s="117">
        <f t="shared" si="3"/>
        <v>15.365430355183676</v>
      </c>
      <c r="K8" s="190"/>
    </row>
    <row r="9" spans="2:11" x14ac:dyDescent="0.2">
      <c r="B9" s="110"/>
      <c r="C9" s="109"/>
      <c r="D9" s="108"/>
      <c r="E9" s="114">
        <f t="shared" si="0"/>
        <v>0</v>
      </c>
      <c r="F9" s="113">
        <f t="shared" si="1"/>
        <v>0</v>
      </c>
      <c r="G9" s="108">
        <f t="shared" si="2"/>
        <v>0</v>
      </c>
      <c r="I9" s="106" t="s">
        <v>280</v>
      </c>
      <c r="J9" s="117">
        <f t="shared" si="3"/>
        <v>15.365430355183676</v>
      </c>
      <c r="K9" s="190"/>
    </row>
    <row r="10" spans="2:11" x14ac:dyDescent="0.2">
      <c r="B10" s="110"/>
      <c r="C10" s="109"/>
      <c r="D10" s="108"/>
      <c r="E10" s="114">
        <f t="shared" si="0"/>
        <v>0</v>
      </c>
      <c r="F10" s="113">
        <f t="shared" si="1"/>
        <v>0</v>
      </c>
      <c r="G10" s="108">
        <f t="shared" si="2"/>
        <v>0</v>
      </c>
      <c r="I10" s="111">
        <v>2255</v>
      </c>
      <c r="J10" s="117">
        <f t="shared" si="3"/>
        <v>15.365430355183676</v>
      </c>
      <c r="K10" s="190"/>
    </row>
    <row r="11" spans="2:11" x14ac:dyDescent="0.2">
      <c r="B11" s="110"/>
      <c r="C11" s="109"/>
      <c r="D11" s="108"/>
      <c r="E11" s="114">
        <f t="shared" si="0"/>
        <v>0</v>
      </c>
      <c r="F11" s="113">
        <f t="shared" si="1"/>
        <v>0</v>
      </c>
      <c r="G11" s="108">
        <f t="shared" si="2"/>
        <v>0</v>
      </c>
      <c r="I11" s="106" t="s">
        <v>279</v>
      </c>
      <c r="J11" s="117">
        <f t="shared" si="3"/>
        <v>15.365430355183676</v>
      </c>
      <c r="K11" s="190"/>
    </row>
    <row r="12" spans="2:11" x14ac:dyDescent="0.2">
      <c r="B12" s="110"/>
      <c r="C12" s="109"/>
      <c r="D12" s="108"/>
      <c r="E12" s="114">
        <f t="shared" si="0"/>
        <v>0</v>
      </c>
      <c r="F12" s="113">
        <f t="shared" si="1"/>
        <v>0</v>
      </c>
      <c r="G12" s="108">
        <f t="shared" si="2"/>
        <v>0</v>
      </c>
      <c r="I12" s="111">
        <v>2475</v>
      </c>
      <c r="J12" s="117">
        <f t="shared" si="3"/>
        <v>15.365430355183676</v>
      </c>
      <c r="K12" s="190"/>
    </row>
    <row r="13" spans="2:11" x14ac:dyDescent="0.2">
      <c r="B13" s="110"/>
      <c r="C13" s="109"/>
      <c r="D13" s="108"/>
      <c r="E13" s="114">
        <f t="shared" si="0"/>
        <v>0</v>
      </c>
      <c r="F13" s="113">
        <f t="shared" si="1"/>
        <v>0</v>
      </c>
      <c r="G13" s="108">
        <f t="shared" si="2"/>
        <v>0</v>
      </c>
      <c r="I13" s="106" t="s">
        <v>278</v>
      </c>
      <c r="J13" s="117">
        <f t="shared" si="3"/>
        <v>15.365430355183676</v>
      </c>
      <c r="K13" s="190"/>
    </row>
    <row r="14" spans="2:11" x14ac:dyDescent="0.2">
      <c r="B14" s="110"/>
      <c r="C14" s="109"/>
      <c r="D14" s="108"/>
      <c r="E14" s="114">
        <f t="shared" si="0"/>
        <v>0</v>
      </c>
      <c r="F14" s="113">
        <f t="shared" si="1"/>
        <v>0</v>
      </c>
      <c r="G14" s="108">
        <f t="shared" si="2"/>
        <v>0</v>
      </c>
      <c r="I14" s="111">
        <v>2356</v>
      </c>
      <c r="J14" s="117">
        <f t="shared" si="3"/>
        <v>15.365430355183676</v>
      </c>
      <c r="K14" s="190"/>
    </row>
    <row r="15" spans="2:11" x14ac:dyDescent="0.2">
      <c r="B15" s="110"/>
      <c r="C15" s="109"/>
      <c r="D15" s="108"/>
      <c r="E15" s="191" t="s">
        <v>292</v>
      </c>
      <c r="F15" s="191"/>
      <c r="G15" s="191"/>
      <c r="I15" s="106" t="s">
        <v>277</v>
      </c>
      <c r="J15" s="117">
        <f t="shared" si="3"/>
        <v>15.365430355183676</v>
      </c>
      <c r="K15" s="190"/>
    </row>
    <row r="16" spans="2:11" x14ac:dyDescent="0.2">
      <c r="B16" s="110"/>
      <c r="C16" s="109"/>
      <c r="D16" s="108"/>
      <c r="E16" s="106"/>
      <c r="F16" s="106"/>
      <c r="G16" s="106"/>
      <c r="I16" s="112">
        <f>1/(2*PI()*SQRT($I$6*$I$8))</f>
        <v>2399.3510443917412</v>
      </c>
      <c r="J16" s="117">
        <f t="shared" si="3"/>
        <v>15.365430355183676</v>
      </c>
      <c r="K16" s="190"/>
    </row>
    <row r="17" spans="2:11" x14ac:dyDescent="0.2">
      <c r="B17" s="110"/>
      <c r="C17" s="109"/>
      <c r="D17" s="108"/>
      <c r="E17" s="106"/>
      <c r="F17" s="106"/>
      <c r="G17" s="106"/>
      <c r="H17" s="191" t="s">
        <v>293</v>
      </c>
      <c r="I17" s="106" t="s">
        <v>276</v>
      </c>
      <c r="J17" s="117">
        <f t="shared" si="3"/>
        <v>15.365430355183676</v>
      </c>
      <c r="K17" s="190"/>
    </row>
    <row r="18" spans="2:11" x14ac:dyDescent="0.2">
      <c r="B18" s="110"/>
      <c r="C18" s="109"/>
      <c r="D18" s="108"/>
      <c r="E18" s="106"/>
      <c r="F18" s="106"/>
      <c r="G18" s="106"/>
      <c r="H18" s="191"/>
      <c r="I18" s="111">
        <v>1</v>
      </c>
      <c r="J18" s="117">
        <f t="shared" si="3"/>
        <v>15.365430355183676</v>
      </c>
      <c r="K18" s="190"/>
    </row>
    <row r="19" spans="2:11" x14ac:dyDescent="0.2">
      <c r="B19" s="110"/>
      <c r="C19" s="109"/>
      <c r="D19" s="108"/>
      <c r="E19" s="106"/>
      <c r="F19" s="106"/>
      <c r="G19" s="106"/>
      <c r="H19" s="191"/>
      <c r="I19" s="106" t="s">
        <v>275</v>
      </c>
      <c r="J19" s="117">
        <f t="shared" si="3"/>
        <v>15.365430355183676</v>
      </c>
      <c r="K19" s="190"/>
    </row>
    <row r="20" spans="2:11" x14ac:dyDescent="0.2">
      <c r="B20" s="110"/>
      <c r="C20" s="109"/>
      <c r="D20" s="108"/>
      <c r="E20" s="106"/>
      <c r="F20" s="106"/>
      <c r="G20" s="106"/>
      <c r="H20" s="191"/>
      <c r="I20" s="111">
        <v>32.409999999999997</v>
      </c>
      <c r="J20" s="117">
        <f t="shared" si="3"/>
        <v>15.365430355183676</v>
      </c>
      <c r="K20" s="190"/>
    </row>
    <row r="21" spans="2:11" x14ac:dyDescent="0.2">
      <c r="B21" s="110"/>
      <c r="C21" s="109"/>
      <c r="D21" s="108"/>
      <c r="E21" s="106"/>
      <c r="F21" s="106"/>
      <c r="G21" s="106"/>
      <c r="H21" s="191"/>
      <c r="I21" s="106" t="s">
        <v>274</v>
      </c>
      <c r="J21" s="117">
        <f t="shared" si="3"/>
        <v>15.365430355183676</v>
      </c>
      <c r="K21" s="190"/>
    </row>
    <row r="22" spans="2:11" x14ac:dyDescent="0.2">
      <c r="B22" s="110"/>
      <c r="C22" s="109"/>
      <c r="D22" s="108"/>
      <c r="E22" s="106"/>
      <c r="F22" s="106"/>
      <c r="G22" s="106"/>
      <c r="H22" s="191"/>
      <c r="I22" s="111">
        <v>31.16</v>
      </c>
      <c r="J22" s="117">
        <f t="shared" si="3"/>
        <v>15.365430355183676</v>
      </c>
      <c r="K22" s="190"/>
    </row>
    <row r="23" spans="2:11" x14ac:dyDescent="0.2">
      <c r="B23" s="110"/>
      <c r="C23" s="109"/>
      <c r="D23" s="108"/>
      <c r="E23" s="106"/>
      <c r="F23" s="106"/>
      <c r="G23" s="106"/>
      <c r="H23" s="191"/>
      <c r="I23" s="106" t="s">
        <v>273</v>
      </c>
      <c r="J23" s="117">
        <f t="shared" si="3"/>
        <v>15.365430355183676</v>
      </c>
      <c r="K23" s="190"/>
    </row>
    <row r="24" spans="2:11" x14ac:dyDescent="0.2">
      <c r="B24" s="110"/>
      <c r="C24" s="109"/>
      <c r="D24" s="108"/>
      <c r="E24" s="106"/>
      <c r="F24" s="106"/>
      <c r="G24" s="106"/>
      <c r="H24" s="191"/>
      <c r="I24" s="110">
        <f>2173/1000</f>
        <v>2.173</v>
      </c>
      <c r="J24" s="117">
        <f t="shared" si="3"/>
        <v>15.365430355183676</v>
      </c>
      <c r="K24" s="190"/>
    </row>
    <row r="25" spans="2:11" x14ac:dyDescent="0.2">
      <c r="B25" s="110"/>
      <c r="C25" s="109"/>
      <c r="D25" s="108"/>
      <c r="E25" s="106"/>
      <c r="F25" s="106"/>
      <c r="G25" s="106"/>
      <c r="J25" s="117">
        <f t="shared" si="3"/>
        <v>15.365430355183676</v>
      </c>
      <c r="K25" s="190"/>
    </row>
    <row r="27" spans="2:11" x14ac:dyDescent="0.2">
      <c r="I27" s="118"/>
    </row>
    <row r="28" spans="2:11" x14ac:dyDescent="0.2">
      <c r="G28" s="191" t="s">
        <v>272</v>
      </c>
      <c r="H28" s="161" t="s">
        <v>271</v>
      </c>
      <c r="I28" s="161"/>
    </row>
    <row r="29" spans="2:11" x14ac:dyDescent="0.2">
      <c r="G29" s="191"/>
      <c r="H29" s="107">
        <f>$I$20/($I$24)</f>
        <v>14.91486424298205</v>
      </c>
      <c r="I29" s="107">
        <f>$I$22/($I$24)</f>
        <v>14.339622641509434</v>
      </c>
    </row>
    <row r="30" spans="2:11" x14ac:dyDescent="0.2">
      <c r="G30" s="191"/>
      <c r="H30" s="161" t="s">
        <v>270</v>
      </c>
      <c r="I30" s="161"/>
    </row>
    <row r="31" spans="2:11" x14ac:dyDescent="0.2">
      <c r="G31" s="191"/>
      <c r="H31" s="195">
        <f>(1/$I$4)*(SQRT($I$6/$I$8))</f>
        <v>15.075567228888183</v>
      </c>
      <c r="I31" s="195"/>
    </row>
    <row r="32" spans="2:11" x14ac:dyDescent="0.2">
      <c r="G32" s="191"/>
      <c r="H32" s="193" t="s">
        <v>269</v>
      </c>
      <c r="I32" s="193"/>
    </row>
    <row r="33" spans="7:9" x14ac:dyDescent="0.2">
      <c r="G33" s="191"/>
      <c r="H33" s="192">
        <f>$I$14/(ABS($I$12-$I$10))</f>
        <v>10.709090909090909</v>
      </c>
      <c r="I33" s="192"/>
    </row>
  </sheetData>
  <sheetProtection formatCells="0" formatColumns="0" formatRows="0" insertColumns="0" insertRows="0" insertHyperlinks="0" deleteColumns="0" deleteRows="0"/>
  <mergeCells count="12">
    <mergeCell ref="I2:J2"/>
    <mergeCell ref="B2:G2"/>
    <mergeCell ref="H28:I28"/>
    <mergeCell ref="H30:I30"/>
    <mergeCell ref="H31:I31"/>
    <mergeCell ref="K4:K25"/>
    <mergeCell ref="E15:G15"/>
    <mergeCell ref="J3:K3"/>
    <mergeCell ref="H17:H24"/>
    <mergeCell ref="G28:G33"/>
    <mergeCell ref="H33:I33"/>
    <mergeCell ref="H32:I3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基本测量</vt:lpstr>
      <vt:lpstr>薄透镜焦距</vt:lpstr>
      <vt:lpstr>杨氏模量</vt:lpstr>
      <vt:lpstr>PN结</vt:lpstr>
      <vt:lpstr>电表改装</vt:lpstr>
      <vt:lpstr>金属比热容</vt:lpstr>
      <vt:lpstr>牛顿环</vt:lpstr>
      <vt:lpstr>表面张力</vt:lpstr>
      <vt:lpstr>超声光栅</vt:lpstr>
      <vt:lpstr>电位差计</vt:lpstr>
      <vt:lpstr>弗兰克赫兹实验</vt:lpstr>
      <vt:lpstr>霍尔效应</vt:lpstr>
      <vt:lpstr>迈克尔逊干涉仪</vt:lpstr>
      <vt:lpstr>声速的测量</vt:lpstr>
      <vt:lpstr>RLC谐振电路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2017-03-10T17:12:57Z</dcterms:created>
  <dcterms:modified xsi:type="dcterms:W3CDTF">2018-04-11T15:56:07Z</dcterms:modified>
</cp:coreProperties>
</file>