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filterPrivacy="1" codeName="ThisWorkbook" defaultThemeVersion="164011"/>
  <bookViews>
    <workbookView minimized="1" xWindow="0" yWindow="3600" windowWidth="22260" windowHeight="1264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B7" i="1" l="1"/>
  <c r="B8" i="1"/>
  <c r="B9" i="1"/>
  <c r="D8" i="1" s="1"/>
  <c r="B10" i="1"/>
  <c r="D9" i="1" s="1"/>
  <c r="B11" i="1"/>
  <c r="B12" i="1"/>
  <c r="B13" i="1"/>
  <c r="D12" i="1" s="1"/>
  <c r="B14" i="1"/>
  <c r="B15" i="1"/>
  <c r="B16" i="1"/>
  <c r="B17" i="1"/>
  <c r="D16" i="1" s="1"/>
  <c r="B18" i="1"/>
  <c r="B19" i="1"/>
  <c r="B20" i="1"/>
  <c r="D19" i="1" s="1"/>
  <c r="G4" i="1"/>
  <c r="G2" i="1"/>
  <c r="G3" i="1"/>
  <c r="Q4" i="1" l="1"/>
  <c r="R4" i="1"/>
  <c r="P4" i="1"/>
  <c r="T4" i="1"/>
  <c r="S4" i="1"/>
  <c r="R3" i="1"/>
  <c r="S3" i="1"/>
  <c r="Q3" i="1"/>
  <c r="P3" i="1"/>
  <c r="T3" i="1"/>
  <c r="Q2" i="1"/>
  <c r="P2" i="1"/>
  <c r="R2" i="1"/>
  <c r="T2" i="1"/>
  <c r="S2" i="1"/>
  <c r="D15" i="1"/>
  <c r="D18" i="1"/>
  <c r="D14" i="1"/>
  <c r="D11" i="1"/>
  <c r="D10" i="1"/>
  <c r="D17" i="1"/>
  <c r="D13" i="1"/>
  <c r="I3" i="1"/>
  <c r="I4" i="1"/>
  <c r="I2" i="1"/>
  <c r="U2" i="1" l="1"/>
  <c r="O2" i="1" s="1"/>
  <c r="U4" i="1"/>
  <c r="O4" i="1" s="1"/>
  <c r="U3" i="1"/>
  <c r="O3" i="1" s="1"/>
</calcChain>
</file>

<file path=xl/sharedStrings.xml><?xml version="1.0" encoding="utf-8"?>
<sst xmlns="http://schemas.openxmlformats.org/spreadsheetml/2006/main" count="18" uniqueCount="18">
  <si>
    <t>次数</t>
    <phoneticPr fontId="1" type="noConversion"/>
  </si>
  <si>
    <t>Fe</t>
    <phoneticPr fontId="1" type="noConversion"/>
  </si>
  <si>
    <t>Cu</t>
    <phoneticPr fontId="1" type="noConversion"/>
  </si>
  <si>
    <t>Al</t>
    <phoneticPr fontId="1" type="noConversion"/>
  </si>
  <si>
    <t>平均值</t>
    <phoneticPr fontId="1" type="noConversion"/>
  </si>
  <si>
    <t>电压/mV</t>
    <phoneticPr fontId="1" type="noConversion"/>
  </si>
  <si>
    <t>时间/s</t>
    <phoneticPr fontId="1" type="noConversion"/>
  </si>
  <si>
    <t>C/Cu</t>
    <phoneticPr fontId="1" type="noConversion"/>
  </si>
  <si>
    <t>M</t>
    <phoneticPr fontId="1" type="noConversion"/>
  </si>
  <si>
    <t>温度</t>
    <phoneticPr fontId="1" type="noConversion"/>
  </si>
  <si>
    <t>C</t>
    <phoneticPr fontId="1" type="noConversion"/>
  </si>
  <si>
    <t>δT</t>
    <phoneticPr fontId="1" type="noConversion"/>
  </si>
  <si>
    <t>斜率</t>
    <phoneticPr fontId="1" type="noConversion"/>
  </si>
  <si>
    <t>δa</t>
    <phoneticPr fontId="1" type="noConversion"/>
  </si>
  <si>
    <t>δb</t>
    <phoneticPr fontId="1" type="noConversion"/>
  </si>
  <si>
    <t>δ仪</t>
    <phoneticPr fontId="1" type="noConversion"/>
  </si>
  <si>
    <t>tp</t>
    <phoneticPr fontId="1" type="noConversion"/>
  </si>
  <si>
    <t>δt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</si>
</sst>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_ "/>
    <numFmt numFmtId="178" formatCode="0.000_ "/>
    <numFmt numFmtId="179" formatCode="0.0000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178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176" fontId="0" fillId="2" borderId="0" xfId="0" applyNumberFormat="1" applyFill="1" applyAlignment="1">
      <alignment vertical="center"/>
    </xf>
    <xf numFmtId="179" fontId="0" fillId="0" borderId="0" xfId="0" applyNumberFormat="1"/>
    <xf numFmtId="0" fontId="2" fillId="3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178" fontId="2" fillId="3" borderId="0" xfId="0" applyNumberFormat="1" applyFont="1" applyFill="1" applyAlignment="1">
      <alignment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j-cs"/>
              </a:defRPr>
            </a:pPr>
            <a:r>
              <a:rPr lang="en-US"/>
              <a:t>Cu</a:t>
            </a:r>
            <a:r>
              <a:rPr lang="zh-CN"/>
              <a:t>的冷却曲线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ysClr val="windowText" lastClr="00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4411137677015658E-2"/>
          <c:y val="0.16759151042536266"/>
          <c:w val="0.84034574872643719"/>
          <c:h val="0.6571471824071857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Sheet1!$B$6</c:f>
              <c:strCache>
                <c:ptCount val="1"/>
                <c:pt idx="0">
                  <c:v>温度</c:v>
                </c:pt>
              </c:strCache>
            </c:strRef>
          </c:tx>
          <c:spPr>
            <a:ln w="28575" cap="flat" cmpd="dbl" algn="ctr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28575" cap="flat" cmpd="dbl" algn="ctr">
                <a:solidFill>
                  <a:sysClr val="windowText" lastClr="000000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Sheet1!$C$7:$C$20</c:f>
              <c:numCache>
                <c:formatCode>0.00_ </c:formatCode>
                <c:ptCount val="14"/>
                <c:pt idx="0">
                  <c:v>0</c:v>
                </c:pt>
                <c:pt idx="1">
                  <c:v>7.5</c:v>
                </c:pt>
                <c:pt idx="2">
                  <c:v>15.17</c:v>
                </c:pt>
                <c:pt idx="3">
                  <c:v>25.98</c:v>
                </c:pt>
                <c:pt idx="4">
                  <c:v>34.659999999999997</c:v>
                </c:pt>
                <c:pt idx="5">
                  <c:v>46.1</c:v>
                </c:pt>
                <c:pt idx="6">
                  <c:v>58.8</c:v>
                </c:pt>
                <c:pt idx="7">
                  <c:v>73.400000000000006</c:v>
                </c:pt>
                <c:pt idx="8">
                  <c:v>90.39</c:v>
                </c:pt>
                <c:pt idx="9">
                  <c:v>110.93</c:v>
                </c:pt>
                <c:pt idx="10">
                  <c:v>135.91999999999999</c:v>
                </c:pt>
                <c:pt idx="11">
                  <c:v>167.44</c:v>
                </c:pt>
                <c:pt idx="12">
                  <c:v>210.26</c:v>
                </c:pt>
                <c:pt idx="13">
                  <c:v>267.56</c:v>
                </c:pt>
              </c:numCache>
            </c:numRef>
          </c:xVal>
          <c:yVal>
            <c:numRef>
              <c:f>Sheet1!$B$7:$B$20</c:f>
              <c:numCache>
                <c:formatCode>General</c:formatCode>
                <c:ptCount val="14"/>
                <c:pt idx="0">
                  <c:v>161.6</c:v>
                </c:pt>
                <c:pt idx="1">
                  <c:v>151.5</c:v>
                </c:pt>
                <c:pt idx="2">
                  <c:v>141.4</c:v>
                </c:pt>
                <c:pt idx="3">
                  <c:v>131.29999999999998</c:v>
                </c:pt>
                <c:pt idx="4">
                  <c:v>121.19999999999999</c:v>
                </c:pt>
                <c:pt idx="5">
                  <c:v>111.1</c:v>
                </c:pt>
                <c:pt idx="6">
                  <c:v>101</c:v>
                </c:pt>
                <c:pt idx="7">
                  <c:v>90.899999999999991</c:v>
                </c:pt>
                <c:pt idx="8">
                  <c:v>80.8</c:v>
                </c:pt>
                <c:pt idx="9">
                  <c:v>70.7</c:v>
                </c:pt>
                <c:pt idx="10">
                  <c:v>60.599999999999994</c:v>
                </c:pt>
                <c:pt idx="11">
                  <c:v>50.5</c:v>
                </c:pt>
                <c:pt idx="12">
                  <c:v>40.4</c:v>
                </c:pt>
                <c:pt idx="13">
                  <c:v>30.299999999999997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8C9-4275-83B2-F8308B118EA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27974272"/>
        <c:axId val="427983008"/>
      </c:scatterChart>
      <c:valAx>
        <c:axId val="427974272"/>
        <c:scaling>
          <c:orientation val="minMax"/>
          <c:max val="2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zh-CN"/>
                  <a:t>时间</a:t>
                </a:r>
                <a:r>
                  <a:rPr lang="en-US"/>
                  <a:t>t/s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88511623751467006"/>
              <c:y val="0.903010785535251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427983008"/>
        <c:crosses val="autoZero"/>
        <c:crossBetween val="midCat"/>
        <c:majorUnit val="30"/>
      </c:valAx>
      <c:valAx>
        <c:axId val="427983008"/>
        <c:scaling>
          <c:orientation val="minMax"/>
          <c:max val="16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zh-CN"/>
                  <a:t>温度</a:t>
                </a:r>
                <a:r>
                  <a:rPr lang="en-US"/>
                  <a:t>T/°C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2.9230166955097482E-2"/>
              <c:y val="3.691777599939852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42797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j-cs"/>
              </a:defRPr>
            </a:pPr>
            <a:r>
              <a:rPr lang="zh-CN" altLang="en-US" sz="1800"/>
              <a:t>对数坐标中</a:t>
            </a:r>
            <a:r>
              <a:rPr lang="en-US" altLang="zh-CN" sz="1800"/>
              <a:t>Cu</a:t>
            </a:r>
            <a:r>
              <a:rPr lang="zh-CN" altLang="en-US" sz="1800"/>
              <a:t>的冷却速率</a:t>
            </a:r>
            <a:endParaRPr lang="zh-CN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normalizeH="0" baseline="0">
              <a:solidFill>
                <a:sysClr val="windowText" lastClr="00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934319375457833"/>
          <c:y val="0.21384953478944535"/>
          <c:w val="0.75863414564741471"/>
          <c:h val="0.66202139091402623"/>
        </c:manualLayout>
      </c:layout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34925" cap="flat" cmpd="dbl" algn="ctr">
                <a:solidFill>
                  <a:sysClr val="windowText" lastClr="000000"/>
                </a:solidFill>
                <a:round/>
              </a:ln>
              <a:effectLst/>
            </c:spPr>
          </c:marker>
          <c:trendline>
            <c:spPr>
              <a:ln w="19050" cap="rnd" cmpd="sng" algn="ctr">
                <a:solidFill>
                  <a:schemeClr val="accent1"/>
                </a:solidFill>
                <a:round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981644626869699"/>
                  <c:y val="0.504386251591313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Microsoft YaHei UI" panose="020B0503020204020204" pitchFamily="34" charset="-122"/>
                      <a:ea typeface="Microsoft YaHei UI" panose="020B0503020204020204" pitchFamily="34" charset="-122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Sheet1!$B$24:$B$35</c:f>
              <c:numCache>
                <c:formatCode>General</c:formatCode>
                <c:ptCount val="12"/>
                <c:pt idx="0">
                  <c:v>151.5</c:v>
                </c:pt>
                <c:pt idx="1">
                  <c:v>141.4</c:v>
                </c:pt>
                <c:pt idx="2">
                  <c:v>131.29999999999998</c:v>
                </c:pt>
                <c:pt idx="3">
                  <c:v>121.19999999999999</c:v>
                </c:pt>
                <c:pt idx="4">
                  <c:v>111.1</c:v>
                </c:pt>
                <c:pt idx="5">
                  <c:v>101</c:v>
                </c:pt>
                <c:pt idx="6">
                  <c:v>90.899999999999991</c:v>
                </c:pt>
                <c:pt idx="7">
                  <c:v>80.8</c:v>
                </c:pt>
                <c:pt idx="8">
                  <c:v>70.7</c:v>
                </c:pt>
                <c:pt idx="9">
                  <c:v>60.599999999999994</c:v>
                </c:pt>
                <c:pt idx="10">
                  <c:v>50.5</c:v>
                </c:pt>
                <c:pt idx="11">
                  <c:v>40.4</c:v>
                </c:pt>
              </c:numCache>
            </c:numRef>
          </c:xVal>
          <c:yVal>
            <c:numRef>
              <c:f>Sheet1!$C$24:$C$35</c:f>
              <c:numCache>
                <c:formatCode>0.00_ </c:formatCode>
                <c:ptCount val="12"/>
                <c:pt idx="0">
                  <c:v>1.3315754779169406</c:v>
                </c:pt>
                <c:pt idx="1">
                  <c:v>1.093073593073594</c:v>
                </c:pt>
                <c:pt idx="2">
                  <c:v>1.0364289379168816</c:v>
                </c:pt>
                <c:pt idx="3">
                  <c:v>1.0039761431411525</c:v>
                </c:pt>
                <c:pt idx="4">
                  <c:v>0.8367854183927087</c:v>
                </c:pt>
                <c:pt idx="5">
                  <c:v>0.73992673992673996</c:v>
                </c:pt>
                <c:pt idx="6">
                  <c:v>0.63944286166508391</c:v>
                </c:pt>
                <c:pt idx="7">
                  <c:v>0.53823607780442284</c:v>
                </c:pt>
                <c:pt idx="8">
                  <c:v>0.44366351855919195</c:v>
                </c:pt>
                <c:pt idx="9">
                  <c:v>0.35745885683949752</c:v>
                </c:pt>
                <c:pt idx="10">
                  <c:v>0.27172450901264456</c:v>
                </c:pt>
                <c:pt idx="11">
                  <c:v>0.20175789053136239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0-4AF6-AE88-3420D29D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723984"/>
        <c:axId val="608721072"/>
      </c:scatterChart>
      <c:valAx>
        <c:axId val="608723984"/>
        <c:scaling>
          <c:logBase val="2"/>
          <c:orientation val="minMax"/>
          <c:max val="250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el-GR" altLang="zh-CN"/>
                  <a:t>θ</a:t>
                </a:r>
                <a:r>
                  <a:rPr lang="en-US" altLang="zh-CN"/>
                  <a:t>-</a:t>
                </a:r>
                <a:r>
                  <a:rPr lang="el-GR" altLang="zh-CN"/>
                  <a:t>θ</a:t>
                </a:r>
                <a:r>
                  <a:rPr lang="en-US" altLang="zh-CN"/>
                  <a:t>0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89480215654606132"/>
              <c:y val="0.7984515446453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608721072"/>
        <c:crosses val="autoZero"/>
        <c:crossBetween val="midCat"/>
      </c:valAx>
      <c:valAx>
        <c:axId val="608721072"/>
        <c:scaling>
          <c:logBase val="2"/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el-GR" altLang="zh-CN">
                    <a:latin typeface="+mn-lt"/>
                  </a:rPr>
                  <a:t>Δθ</a:t>
                </a:r>
                <a:r>
                  <a:rPr lang="en-US" altLang="zh-CN">
                    <a:latin typeface="+mn-lt"/>
                  </a:rPr>
                  <a:t>/</a:t>
                </a:r>
                <a:r>
                  <a:rPr lang="el-GR" altLang="zh-CN">
                    <a:latin typeface="+mn-lt"/>
                  </a:rPr>
                  <a:t>Δ</a:t>
                </a:r>
                <a:r>
                  <a:rPr lang="en-US" altLang="zh-CN">
                    <a:latin typeface="+mn-lt"/>
                  </a:rPr>
                  <a:t>t</a:t>
                </a:r>
                <a:endParaRPr lang="zh-CN" altLang="en-US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2.9230166955097482E-2"/>
              <c:y val="0.110483485050710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608723984"/>
        <c:crossesAt val="2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649940</xdr:colOff>
      <xdr:row>6</xdr:row>
      <xdr:rowOff>0</xdr:rowOff>
    </xdr:from>
    <xdr:to>
      <xdr:col>13</xdr:col>
      <xdr:colOff>392204</xdr:colOff>
      <xdr:row>23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25</xdr:row>
      <xdr:rowOff>0</xdr:rowOff>
    </xdr:from>
    <xdr:to>
      <xdr:col>14</xdr:col>
      <xdr:colOff>0</xdr:colOff>
      <xdr:row>42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5"/>
  <sheetViews>
    <sheetView tabSelected="1" zoomScale="25" zoomScaleNormal="25" workbookViewId="0">
      <selection activeCell="E19" sqref="E19"/>
    </sheetView>
  </sheetViews>
  <sheetFormatPr defaultRowHeight="13.9" x14ac:dyDescent="0.4"/>
  <cols>
    <col min="1" max="10" width="9.06640625" style="1"/>
    <col min="11" max="11" width="6.53125" style="1" bestFit="1" customWidth="1"/>
    <col min="12" max="12" width="5.46484375" style="1" bestFit="1" customWidth="1"/>
    <col min="13" max="13" width="13" bestFit="1" customWidth="1"/>
    <col min="14" max="15" width="5.46484375" style="1" bestFit="1" customWidth="1"/>
    <col min="16" max="16" width="9.6640625" bestFit="1" customWidth="1"/>
    <col min="17" max="20" width="9.6640625" style="1" bestFit="1" customWidth="1"/>
    <col min="21" max="21" width="13" style="1" bestFit="1" customWidth="1"/>
    <col min="23" max="16384" width="9.06640625" style="1"/>
  </cols>
  <sheetData>
    <row r="1" spans="1:21" x14ac:dyDescent="0.4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 t="s">
        <v>4</v>
      </c>
      <c r="H1" s="1" t="s">
        <v>11</v>
      </c>
      <c r="I1" s="1" t="s">
        <v>10</v>
      </c>
      <c r="J1" s="1" t="s">
        <v>8</v>
      </c>
      <c r="K1" s="1" t="s">
        <v>7</v>
      </c>
      <c r="L1" s="1" t="s">
        <v>15</v>
      </c>
      <c r="M1" s="1" t="s">
        <v>14</v>
      </c>
      <c r="N1" s="1" t="s">
        <v>16</v>
      </c>
      <c r="O1" s="8" t="s">
        <v>17</v>
      </c>
      <c r="P1" s="1" t="s">
        <v>13</v>
      </c>
      <c r="U1" s="7"/>
    </row>
    <row r="2" spans="1:21" x14ac:dyDescent="0.4">
      <c r="A2" s="1" t="s">
        <v>1</v>
      </c>
      <c r="B2" s="4">
        <v>6.47</v>
      </c>
      <c r="C2" s="4">
        <v>6.05</v>
      </c>
      <c r="D2" s="4">
        <v>6.74</v>
      </c>
      <c r="E2" s="4">
        <v>6.88</v>
      </c>
      <c r="F2" s="4">
        <v>6.84</v>
      </c>
      <c r="G2" s="5">
        <f t="shared" ref="G2:G4" si="0">TranValue(AVERAGE(B2:F2),2)</f>
        <v>6.6</v>
      </c>
      <c r="H2" s="10">
        <v>4</v>
      </c>
      <c r="I2" s="1">
        <f>TranValue($K$2*($J$3*$H$2/$G$3)/(J2*$H$2/G2),3)</f>
        <v>0.11899999999999999</v>
      </c>
      <c r="J2" s="2">
        <v>4.0279999999999996</v>
      </c>
      <c r="K2" s="10">
        <v>9.4E-2</v>
      </c>
      <c r="L2" s="10">
        <v>0.01</v>
      </c>
      <c r="M2" s="11">
        <f>$L$2/SQRT(3)</f>
        <v>5.773502691896258E-3</v>
      </c>
      <c r="N2" s="10">
        <v>1.06</v>
      </c>
      <c r="O2" s="8">
        <f>ROUNDUP(SQRT((U2*$N$2)^2+$M$2^2),2)</f>
        <v>0.17</v>
      </c>
      <c r="P2" s="6">
        <f t="shared" ref="P2:T4" si="1">(B2-$G2)^2</f>
        <v>1.6899999999999971E-2</v>
      </c>
      <c r="Q2" s="6">
        <f t="shared" si="1"/>
        <v>0.30249999999999982</v>
      </c>
      <c r="R2" s="6">
        <f t="shared" si="1"/>
        <v>1.9600000000000159E-2</v>
      </c>
      <c r="S2" s="6">
        <f t="shared" si="1"/>
        <v>7.8400000000000136E-2</v>
      </c>
      <c r="T2" s="6">
        <f t="shared" si="1"/>
        <v>5.7600000000000103E-2</v>
      </c>
      <c r="U2" s="9">
        <f>SQRT(SUM(P2:T2)/(5*4))</f>
        <v>0.15411035007422444</v>
      </c>
    </row>
    <row r="3" spans="1:21" x14ac:dyDescent="0.4">
      <c r="A3" s="1" t="s">
        <v>2</v>
      </c>
      <c r="B3" s="4">
        <v>6.15</v>
      </c>
      <c r="C3" s="4">
        <v>6.02</v>
      </c>
      <c r="D3" s="4">
        <v>6.73</v>
      </c>
      <c r="E3" s="4">
        <v>6.04</v>
      </c>
      <c r="F3" s="4">
        <v>6.3</v>
      </c>
      <c r="G3" s="5">
        <f t="shared" si="0"/>
        <v>6.25</v>
      </c>
      <c r="H3" s="10"/>
      <c r="I3" s="1">
        <f t="shared" ref="I3:I4" si="2">TranValue($K$2*($J$3*$H$2/$G$3)/(J3*$H$2/G3),3)</f>
        <v>9.4E-2</v>
      </c>
      <c r="J3" s="2">
        <v>4.83</v>
      </c>
      <c r="K3" s="10"/>
      <c r="L3" s="10"/>
      <c r="M3" s="11"/>
      <c r="N3" s="10"/>
      <c r="O3" s="8">
        <f>ROUNDUP(SQRT((U3*$N$2)^2+$M$2^2),2)</f>
        <v>0.14000000000000001</v>
      </c>
      <c r="P3" s="6">
        <f t="shared" si="1"/>
        <v>9.9999999999999291E-3</v>
      </c>
      <c r="Q3" s="6">
        <f t="shared" si="1"/>
        <v>5.2900000000000197E-2</v>
      </c>
      <c r="R3" s="6">
        <f t="shared" si="1"/>
        <v>0.23040000000000041</v>
      </c>
      <c r="S3" s="6">
        <f t="shared" si="1"/>
        <v>4.4099999999999986E-2</v>
      </c>
      <c r="T3" s="6">
        <f t="shared" si="1"/>
        <v>2.4999999999999823E-3</v>
      </c>
      <c r="U3" s="9">
        <f t="shared" ref="U3:U4" si="3">SQRT(SUM(P3:T3)/(5*4))</f>
        <v>0.13036487256926241</v>
      </c>
    </row>
    <row r="4" spans="1:21" x14ac:dyDescent="0.4">
      <c r="A4" s="1" t="s">
        <v>3</v>
      </c>
      <c r="B4" s="4">
        <v>4.9000000000000004</v>
      </c>
      <c r="C4" s="4">
        <v>5.05</v>
      </c>
      <c r="D4" s="4">
        <v>5.17</v>
      </c>
      <c r="E4" s="4">
        <v>5.07</v>
      </c>
      <c r="F4" s="4">
        <v>5.1100000000000003</v>
      </c>
      <c r="G4" s="5">
        <f t="shared" si="0"/>
        <v>5.0599999999999996</v>
      </c>
      <c r="H4" s="10"/>
      <c r="I4" s="1">
        <f t="shared" si="2"/>
        <v>0.245</v>
      </c>
      <c r="J4" s="2">
        <v>1.5</v>
      </c>
      <c r="K4" s="10"/>
      <c r="L4" s="10"/>
      <c r="M4" s="11"/>
      <c r="N4" s="10"/>
      <c r="O4" s="8">
        <f>ROUNDUP(SQRT((U4*$N$2)^2+$M$2^2),2)</f>
        <v>0.05</v>
      </c>
      <c r="P4" s="6">
        <f t="shared" si="1"/>
        <v>2.5599999999999762E-2</v>
      </c>
      <c r="Q4" s="6">
        <f t="shared" si="1"/>
        <v>9.9999999999995736E-5</v>
      </c>
      <c r="R4" s="6">
        <f t="shared" si="1"/>
        <v>1.2100000000000071E-2</v>
      </c>
      <c r="S4" s="6">
        <f t="shared" si="1"/>
        <v>1.000000000000135E-4</v>
      </c>
      <c r="T4" s="6">
        <f t="shared" si="1"/>
        <v>2.5000000000000712E-3</v>
      </c>
      <c r="U4" s="9">
        <f t="shared" si="3"/>
        <v>4.4944410108488417E-2</v>
      </c>
    </row>
    <row r="6" spans="1:21" x14ac:dyDescent="0.4">
      <c r="A6" s="1" t="s">
        <v>5</v>
      </c>
      <c r="B6" s="1" t="s">
        <v>9</v>
      </c>
      <c r="C6" s="1" t="s">
        <v>6</v>
      </c>
      <c r="D6" s="1" t="s">
        <v>12</v>
      </c>
    </row>
    <row r="7" spans="1:21" x14ac:dyDescent="0.4">
      <c r="A7" s="3">
        <v>8</v>
      </c>
      <c r="B7" s="1">
        <f t="shared" ref="B7:B20" si="4">A7*20.2</f>
        <v>161.6</v>
      </c>
      <c r="C7" s="4">
        <v>0</v>
      </c>
    </row>
    <row r="8" spans="1:21" x14ac:dyDescent="0.4">
      <c r="A8" s="3">
        <v>7.5</v>
      </c>
      <c r="B8" s="1">
        <f t="shared" si="4"/>
        <v>151.5</v>
      </c>
      <c r="C8" s="4">
        <v>7.5</v>
      </c>
      <c r="D8" s="4">
        <f>ABS(B9-B7)/(C9-C7)</f>
        <v>1.3315754779169406</v>
      </c>
    </row>
    <row r="9" spans="1:21" x14ac:dyDescent="0.4">
      <c r="A9" s="3">
        <v>7</v>
      </c>
      <c r="B9" s="1">
        <f t="shared" si="4"/>
        <v>141.4</v>
      </c>
      <c r="C9" s="4">
        <v>15.17</v>
      </c>
      <c r="D9" s="4">
        <f t="shared" ref="D9:D19" si="5">ABS(B10-B8)/(C10-C8)</f>
        <v>1.093073593073594</v>
      </c>
    </row>
    <row r="10" spans="1:21" x14ac:dyDescent="0.4">
      <c r="A10" s="3">
        <v>6.5</v>
      </c>
      <c r="B10" s="1">
        <f t="shared" si="4"/>
        <v>131.29999999999998</v>
      </c>
      <c r="C10" s="4">
        <v>25.98</v>
      </c>
      <c r="D10" s="4">
        <f t="shared" si="5"/>
        <v>1.0364289379168816</v>
      </c>
    </row>
    <row r="11" spans="1:21" x14ac:dyDescent="0.4">
      <c r="A11" s="3">
        <v>6</v>
      </c>
      <c r="B11" s="1">
        <f t="shared" si="4"/>
        <v>121.19999999999999</v>
      </c>
      <c r="C11" s="4">
        <v>34.659999999999997</v>
      </c>
      <c r="D11" s="4">
        <f t="shared" si="5"/>
        <v>1.0039761431411525</v>
      </c>
    </row>
    <row r="12" spans="1:21" x14ac:dyDescent="0.4">
      <c r="A12" s="3">
        <v>5.5</v>
      </c>
      <c r="B12" s="1">
        <f t="shared" si="4"/>
        <v>111.1</v>
      </c>
      <c r="C12" s="4">
        <v>46.1</v>
      </c>
      <c r="D12" s="4">
        <f t="shared" si="5"/>
        <v>0.8367854183927087</v>
      </c>
    </row>
    <row r="13" spans="1:21" x14ac:dyDescent="0.4">
      <c r="A13" s="3">
        <v>5</v>
      </c>
      <c r="B13" s="1">
        <f t="shared" si="4"/>
        <v>101</v>
      </c>
      <c r="C13" s="4">
        <v>58.8</v>
      </c>
      <c r="D13" s="4">
        <f t="shared" si="5"/>
        <v>0.73992673992673996</v>
      </c>
    </row>
    <row r="14" spans="1:21" x14ac:dyDescent="0.4">
      <c r="A14" s="3">
        <v>4.5</v>
      </c>
      <c r="B14" s="1">
        <f t="shared" si="4"/>
        <v>90.899999999999991</v>
      </c>
      <c r="C14" s="4">
        <v>73.400000000000006</v>
      </c>
      <c r="D14" s="4">
        <f t="shared" si="5"/>
        <v>0.63944286166508391</v>
      </c>
    </row>
    <row r="15" spans="1:21" x14ac:dyDescent="0.4">
      <c r="A15" s="3">
        <v>4</v>
      </c>
      <c r="B15" s="1">
        <f t="shared" si="4"/>
        <v>80.8</v>
      </c>
      <c r="C15" s="4">
        <v>90.39</v>
      </c>
      <c r="D15" s="4">
        <f t="shared" si="5"/>
        <v>0.53823607780442284</v>
      </c>
    </row>
    <row r="16" spans="1:21" x14ac:dyDescent="0.4">
      <c r="A16" s="3">
        <v>3.5</v>
      </c>
      <c r="B16" s="1">
        <f t="shared" si="4"/>
        <v>70.7</v>
      </c>
      <c r="C16" s="4">
        <v>110.93</v>
      </c>
      <c r="D16" s="4">
        <f t="shared" si="5"/>
        <v>0.44366351855919195</v>
      </c>
    </row>
    <row r="17" spans="1:4" x14ac:dyDescent="0.4">
      <c r="A17" s="3">
        <v>3</v>
      </c>
      <c r="B17" s="1">
        <f t="shared" si="4"/>
        <v>60.599999999999994</v>
      </c>
      <c r="C17" s="4">
        <v>135.91999999999999</v>
      </c>
      <c r="D17" s="4">
        <f t="shared" si="5"/>
        <v>0.35745885683949752</v>
      </c>
    </row>
    <row r="18" spans="1:4" x14ac:dyDescent="0.4">
      <c r="A18" s="3">
        <v>2.5</v>
      </c>
      <c r="B18" s="1">
        <f t="shared" si="4"/>
        <v>50.5</v>
      </c>
      <c r="C18" s="4">
        <v>167.44</v>
      </c>
      <c r="D18" s="4">
        <f t="shared" si="5"/>
        <v>0.27172450901264456</v>
      </c>
    </row>
    <row r="19" spans="1:4" x14ac:dyDescent="0.4">
      <c r="A19" s="3">
        <v>2</v>
      </c>
      <c r="B19" s="1">
        <f t="shared" si="4"/>
        <v>40.4</v>
      </c>
      <c r="C19" s="4">
        <v>210.26</v>
      </c>
      <c r="D19" s="4">
        <f t="shared" si="5"/>
        <v>0.20175789053136239</v>
      </c>
    </row>
    <row r="20" spans="1:4" x14ac:dyDescent="0.4">
      <c r="A20" s="3">
        <v>1.5</v>
      </c>
      <c r="B20" s="1">
        <f t="shared" si="4"/>
        <v>30.299999999999997</v>
      </c>
      <c r="C20" s="4">
        <v>267.56</v>
      </c>
    </row>
    <row r="24" spans="1:4" x14ac:dyDescent="0.4">
      <c r="B24" s="1">
        <v>151.5</v>
      </c>
      <c r="C24" s="4">
        <v>1.3315754779169406</v>
      </c>
    </row>
    <row r="25" spans="1:4" x14ac:dyDescent="0.4">
      <c r="B25" s="1">
        <v>141.4</v>
      </c>
      <c r="C25" s="4">
        <v>1.093073593073594</v>
      </c>
    </row>
    <row r="26" spans="1:4" x14ac:dyDescent="0.4">
      <c r="B26" s="1">
        <v>131.29999999999998</v>
      </c>
      <c r="C26" s="4">
        <v>1.0364289379168816</v>
      </c>
    </row>
    <row r="27" spans="1:4" x14ac:dyDescent="0.4">
      <c r="B27" s="1">
        <v>121.19999999999999</v>
      </c>
      <c r="C27" s="4">
        <v>1.0039761431411525</v>
      </c>
    </row>
    <row r="28" spans="1:4" x14ac:dyDescent="0.4">
      <c r="B28" s="1">
        <v>111.1</v>
      </c>
      <c r="C28" s="4">
        <v>0.8367854183927087</v>
      </c>
    </row>
    <row r="29" spans="1:4" x14ac:dyDescent="0.4">
      <c r="B29" s="1">
        <v>101</v>
      </c>
      <c r="C29" s="4">
        <v>0.73992673992673996</v>
      </c>
    </row>
    <row r="30" spans="1:4" x14ac:dyDescent="0.4">
      <c r="B30" s="1">
        <v>90.899999999999991</v>
      </c>
      <c r="C30" s="4">
        <v>0.63944286166508391</v>
      </c>
    </row>
    <row r="31" spans="1:4" x14ac:dyDescent="0.4">
      <c r="B31" s="1">
        <v>80.8</v>
      </c>
      <c r="C31" s="4">
        <v>0.53823607780442284</v>
      </c>
    </row>
    <row r="32" spans="1:4" x14ac:dyDescent="0.4">
      <c r="B32" s="1">
        <v>70.7</v>
      </c>
      <c r="C32" s="4">
        <v>0.44366351855919195</v>
      </c>
    </row>
    <row r="33" spans="2:3" x14ac:dyDescent="0.4">
      <c r="B33" s="1">
        <v>60.599999999999994</v>
      </c>
      <c r="C33" s="4">
        <v>0.35745885683949752</v>
      </c>
    </row>
    <row r="34" spans="2:3" x14ac:dyDescent="0.4">
      <c r="B34" s="1">
        <v>50.5</v>
      </c>
      <c r="C34" s="4">
        <v>0.27172450901264456</v>
      </c>
    </row>
    <row r="35" spans="2:3" x14ac:dyDescent="0.4">
      <c r="B35" s="1">
        <v>40.4</v>
      </c>
      <c r="C35" s="4">
        <v>0.20175789053136239</v>
      </c>
    </row>
  </sheetData>
  <mergeCells count="5">
    <mergeCell ref="N2:N4"/>
    <mergeCell ref="K2:K4"/>
    <mergeCell ref="H2:H4"/>
    <mergeCell ref="M2:M4"/>
    <mergeCell ref="L2:L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2016-12-21T07:35:32Z</dcterms:modified>
</cp:coreProperties>
</file>