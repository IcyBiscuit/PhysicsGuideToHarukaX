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cy Bitch\Documents\实验数据\"/>
    </mc:Choice>
  </mc:AlternateContent>
  <workbookProtection workbookAlgorithmName="SHA-512" workbookHashValue="3GYRIoJqxnbtJNZJEXNJD1IIepfIraQJQtAZQ5NbTttWJyGEWzDi+7hL8CfJYEypbd7my6lbi0Ly/72gqZ6OOA==" workbookSaltValue="Q8PoTTeK82oKcpDaj2wthA==" workbookSpinCount="100000" lockStructure="1"/>
  <bookViews>
    <workbookView xWindow="0" yWindow="4200" windowWidth="19200" windowHeight="8273"/>
  </bookViews>
  <sheets>
    <sheet name="基本测量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1" l="1"/>
  <c r="B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I19" i="1"/>
  <c r="E19" i="1"/>
  <c r="E29" i="1" s="1"/>
  <c r="D19" i="1"/>
  <c r="D13" i="1"/>
  <c r="C13" i="1"/>
  <c r="B13" i="1"/>
  <c r="I3" i="1"/>
  <c r="C15" i="1"/>
  <c r="E31" i="1"/>
  <c r="D15" i="1"/>
  <c r="B15" i="1"/>
  <c r="D29" i="1" l="1"/>
  <c r="P10" i="1"/>
  <c r="P4" i="1"/>
  <c r="R3" i="1"/>
  <c r="P11" i="1"/>
  <c r="P6" i="1"/>
  <c r="P5" i="1"/>
  <c r="P3" i="1"/>
  <c r="P12" i="1"/>
  <c r="P8" i="1"/>
  <c r="P7" i="1"/>
  <c r="P9" i="1"/>
  <c r="O9" i="1"/>
  <c r="O10" i="1"/>
  <c r="O4" i="1"/>
  <c r="O7" i="1"/>
  <c r="O11" i="1"/>
  <c r="O6" i="1"/>
  <c r="O5" i="1"/>
  <c r="O3" i="1"/>
  <c r="O12" i="1"/>
  <c r="O8" i="1"/>
  <c r="N12" i="1"/>
  <c r="N8" i="1"/>
  <c r="N7" i="1"/>
  <c r="N11" i="1"/>
  <c r="N6" i="1"/>
  <c r="N9" i="1"/>
  <c r="N3" i="1"/>
  <c r="N10" i="1"/>
  <c r="N4" i="1"/>
  <c r="N5" i="1"/>
  <c r="O20" i="1"/>
  <c r="O22" i="1"/>
  <c r="O24" i="1"/>
  <c r="O26" i="1"/>
  <c r="O28" i="1"/>
  <c r="O21" i="1"/>
  <c r="O23" i="1"/>
  <c r="O25" i="1"/>
  <c r="O27" i="1"/>
  <c r="O19" i="1"/>
  <c r="D31" i="1"/>
  <c r="R5" i="1"/>
  <c r="O30" i="1" l="1"/>
  <c r="L19" i="1" s="1"/>
  <c r="L30" i="1" s="1"/>
  <c r="L32" i="1" s="1"/>
  <c r="N22" i="1"/>
  <c r="N26" i="1"/>
  <c r="N27" i="1"/>
  <c r="N24" i="1"/>
  <c r="N25" i="1"/>
  <c r="N28" i="1"/>
  <c r="N21" i="1"/>
  <c r="N23" i="1"/>
  <c r="N19" i="1"/>
  <c r="N20" i="1"/>
  <c r="O14" i="1"/>
  <c r="L3" i="1" s="1"/>
  <c r="L14" i="1" s="1"/>
  <c r="L16" i="1" s="1"/>
  <c r="P14" i="1"/>
  <c r="M3" i="1" s="1"/>
  <c r="M14" i="1" s="1"/>
  <c r="N14" i="1"/>
  <c r="K3" i="1" s="1"/>
  <c r="K14" i="1" s="1"/>
  <c r="K16" i="1" s="1"/>
  <c r="R7" i="1"/>
  <c r="N30" i="1" l="1"/>
  <c r="K19" i="1" s="1"/>
  <c r="K30" i="1" s="1"/>
  <c r="K32" i="1" s="1"/>
  <c r="M16" i="1"/>
  <c r="S3" i="1"/>
</calcChain>
</file>

<file path=xl/sharedStrings.xml><?xml version="1.0" encoding="utf-8"?>
<sst xmlns="http://schemas.openxmlformats.org/spreadsheetml/2006/main" count="47" uniqueCount="39">
  <si>
    <t>d(mm)</t>
    <phoneticPr fontId="1" type="noConversion"/>
  </si>
  <si>
    <t>ΔD</t>
  </si>
  <si>
    <t>Δd</t>
  </si>
  <si>
    <t>ΔH</t>
  </si>
  <si>
    <t>与平均值差值平方ΔA</t>
  </si>
  <si>
    <t>D1真实(mm)</t>
    <phoneticPr fontId="1" type="noConversion"/>
  </si>
  <si>
    <t>ΔB</t>
  </si>
  <si>
    <t>ΔD1</t>
  </si>
  <si>
    <t>ΔD2</t>
  </si>
  <si>
    <t>ΔA</t>
  </si>
  <si>
    <t>游标卡尺</t>
    <phoneticPr fontId="1" type="noConversion"/>
  </si>
  <si>
    <t>k</t>
    <phoneticPr fontId="1" type="noConversion"/>
  </si>
  <si>
    <t>D(mm)</t>
    <phoneticPr fontId="1" type="noConversion"/>
  </si>
  <si>
    <t>H(mm)</t>
    <phoneticPr fontId="1" type="noConversion"/>
  </si>
  <si>
    <t>Δ仪</t>
    <phoneticPr fontId="1" type="noConversion"/>
  </si>
  <si>
    <t>ΔB</t>
    <phoneticPr fontId="1" type="noConversion"/>
  </si>
  <si>
    <t>tp</t>
    <phoneticPr fontId="1" type="noConversion"/>
  </si>
  <si>
    <t>V(mm^3)</t>
    <phoneticPr fontId="1" type="noConversion"/>
  </si>
  <si>
    <t>ΔV</t>
    <phoneticPr fontId="1" type="noConversion"/>
  </si>
  <si>
    <t>中间值</t>
    <phoneticPr fontId="1" type="noConversion"/>
  </si>
  <si>
    <t>最终值</t>
    <phoneticPr fontId="1" type="noConversion"/>
  </si>
  <si>
    <t>←此值自己对齐左端有效数字位取近似值（进一法）</t>
    <phoneticPr fontId="1" type="noConversion"/>
  </si>
  <si>
    <t>P</t>
    <phoneticPr fontId="1" type="noConversion"/>
  </si>
  <si>
    <t>AVE</t>
    <phoneticPr fontId="1" type="noConversion"/>
  </si>
  <si>
    <t>ΔD</t>
    <phoneticPr fontId="1" type="noConversion"/>
  </si>
  <si>
    <t>Δd</t>
    <phoneticPr fontId="1" type="noConversion"/>
  </si>
  <si>
    <t>ΔA</t>
    <phoneticPr fontId="1" type="noConversion"/>
  </si>
  <si>
    <t>取近似值</t>
    <phoneticPr fontId="1" type="noConversion"/>
  </si>
  <si>
    <t>ΔD/D</t>
    <phoneticPr fontId="1" type="noConversion"/>
  </si>
  <si>
    <t>Δd/d</t>
    <phoneticPr fontId="1" type="noConversion"/>
  </si>
  <si>
    <t>ΔH/H</t>
    <phoneticPr fontId="1" type="noConversion"/>
  </si>
  <si>
    <t>千分尺</t>
    <phoneticPr fontId="1" type="noConversion"/>
  </si>
  <si>
    <t>D1粗(mm)</t>
    <phoneticPr fontId="1" type="noConversion"/>
  </si>
  <si>
    <t>D2细(mm)</t>
    <phoneticPr fontId="1" type="noConversion"/>
  </si>
  <si>
    <t>D2真实(mm)</t>
    <phoneticPr fontId="1" type="noConversion"/>
  </si>
  <si>
    <t>误差值(mm)</t>
    <phoneticPr fontId="1" type="noConversion"/>
  </si>
  <si>
    <t>tp</t>
    <phoneticPr fontId="1" type="noConversion"/>
  </si>
  <si>
    <t>ΔD1/D1</t>
    <phoneticPr fontId="1" type="noConversion"/>
  </si>
  <si>
    <t>ΔD2/D2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</si>
</sst>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000_ "/>
    <numFmt numFmtId="177" formatCode="0.00_ "/>
    <numFmt numFmtId="178" formatCode="0.000000_);[Red]\(0.000000\)"/>
    <numFmt numFmtId="179" formatCode="0.000E+00"/>
    <numFmt numFmtId="180" formatCode="0.000_ "/>
    <numFmt numFmtId="181" formatCode="0.0000000000_ "/>
    <numFmt numFmtId="182" formatCode="0.0000_ "/>
    <numFmt numFmtId="183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176" fontId="0" fillId="0" borderId="0" xfId="0" applyNumberFormat="1" applyBorder="1"/>
    <xf numFmtId="177" fontId="0" fillId="2" borderId="0" xfId="0" applyNumberFormat="1" applyFill="1" applyBorder="1"/>
    <xf numFmtId="176" fontId="0" fillId="0" borderId="0" xfId="0" applyNumberFormat="1" applyFill="1" applyBorder="1"/>
    <xf numFmtId="178" fontId="0" fillId="3" borderId="0" xfId="0" applyNumberFormat="1" applyFill="1" applyBorder="1"/>
    <xf numFmtId="179" fontId="0" fillId="4" borderId="0" xfId="0" applyNumberFormat="1" applyFill="1" applyBorder="1"/>
    <xf numFmtId="0" fontId="0" fillId="4" borderId="0" xfId="0" applyFill="1" applyBorder="1"/>
    <xf numFmtId="177" fontId="0" fillId="0" borderId="0" xfId="0" applyNumberFormat="1" applyBorder="1"/>
    <xf numFmtId="178" fontId="0" fillId="0" borderId="0" xfId="0" applyNumberFormat="1" applyBorder="1"/>
    <xf numFmtId="0" fontId="0" fillId="0" borderId="0" xfId="0" applyFill="1" applyBorder="1"/>
    <xf numFmtId="177" fontId="0" fillId="4" borderId="0" xfId="0" applyNumberFormat="1" applyFill="1" applyBorder="1"/>
    <xf numFmtId="10" fontId="0" fillId="4" borderId="0" xfId="0" applyNumberFormat="1" applyFill="1" applyBorder="1"/>
    <xf numFmtId="180" fontId="0" fillId="2" borderId="0" xfId="0" applyNumberFormat="1" applyFill="1" applyBorder="1"/>
    <xf numFmtId="180" fontId="0" fillId="0" borderId="0" xfId="0" applyNumberFormat="1" applyFill="1" applyBorder="1"/>
    <xf numFmtId="181" fontId="0" fillId="3" borderId="0" xfId="0" applyNumberFormat="1" applyFill="1" applyBorder="1"/>
    <xf numFmtId="182" fontId="0" fillId="0" borderId="0" xfId="0" applyNumberFormat="1" applyBorder="1"/>
    <xf numFmtId="180" fontId="0" fillId="0" borderId="0" xfId="0" applyNumberFormat="1" applyBorder="1"/>
    <xf numFmtId="180" fontId="0" fillId="4" borderId="0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83" fontId="0" fillId="4" borderId="0" xfId="0" applyNumberFormat="1" applyFill="1" applyBorder="1"/>
    <xf numFmtId="178" fontId="0" fillId="5" borderId="0" xfId="0" applyNumberFormat="1" applyFill="1" applyBorder="1"/>
    <xf numFmtId="0" fontId="0" fillId="5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0" fillId="3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180" fontId="0" fillId="2" borderId="0" xfId="0" applyNumberForma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2"/>
  <sheetViews>
    <sheetView tabSelected="1" zoomScale="70" zoomScaleNormal="70" workbookViewId="0">
      <selection activeCell="E34" sqref="E34"/>
    </sheetView>
  </sheetViews>
  <sheetFormatPr defaultRowHeight="13.9" x14ac:dyDescent="0.4"/>
  <cols>
    <col min="1" max="1" width="9.06640625" style="1" bestFit="1" customWidth="1"/>
    <col min="2" max="3" width="10.265625" style="1" bestFit="1" customWidth="1"/>
    <col min="4" max="5" width="12.46484375" style="1" bestFit="1" customWidth="1"/>
    <col min="6" max="6" width="12" style="1" bestFit="1" customWidth="1"/>
    <col min="7" max="7" width="9.06640625" style="1"/>
    <col min="8" max="9" width="9.33203125" style="1" bestFit="1" customWidth="1"/>
    <col min="10" max="13" width="9.6640625" style="1" bestFit="1" customWidth="1"/>
    <col min="14" max="15" width="14.1328125" style="1" bestFit="1" customWidth="1"/>
    <col min="16" max="16" width="9.6640625" style="2" bestFit="1" customWidth="1"/>
    <col min="17" max="17" width="9.33203125" style="1" bestFit="1" customWidth="1"/>
    <col min="18" max="18" width="12.59765625" style="1" bestFit="1" customWidth="1"/>
    <col min="19" max="19" width="13" style="1" bestFit="1" customWidth="1"/>
    <col min="20" max="20" width="50.265625" style="1" bestFit="1" customWidth="1"/>
    <col min="21" max="16384" width="9.06640625" style="1"/>
  </cols>
  <sheetData>
    <row r="1" spans="1:20" x14ac:dyDescent="0.4">
      <c r="A1" s="24" t="s">
        <v>10</v>
      </c>
      <c r="B1" s="24"/>
      <c r="C1" s="24"/>
      <c r="D1" s="24"/>
      <c r="E1" s="19"/>
    </row>
    <row r="2" spans="1:20" x14ac:dyDescent="0.4">
      <c r="A2" s="1" t="s">
        <v>11</v>
      </c>
      <c r="B2" s="1" t="s">
        <v>12</v>
      </c>
      <c r="C2" s="1" t="s">
        <v>0</v>
      </c>
      <c r="D2" s="1" t="s">
        <v>13</v>
      </c>
      <c r="H2" s="1" t="s">
        <v>14</v>
      </c>
      <c r="I2" s="1" t="s">
        <v>15</v>
      </c>
      <c r="J2" s="1" t="s">
        <v>16</v>
      </c>
      <c r="K2" s="1" t="s">
        <v>1</v>
      </c>
      <c r="L2" s="1" t="s">
        <v>2</v>
      </c>
      <c r="M2" s="1" t="s">
        <v>3</v>
      </c>
      <c r="N2" s="25" t="s">
        <v>4</v>
      </c>
      <c r="O2" s="25"/>
      <c r="P2" s="25"/>
      <c r="R2" s="1" t="s">
        <v>17</v>
      </c>
      <c r="S2" s="1" t="s">
        <v>18</v>
      </c>
    </row>
    <row r="3" spans="1:20" x14ac:dyDescent="0.4">
      <c r="A3" s="1">
        <v>1</v>
      </c>
      <c r="B3" s="3"/>
      <c r="C3" s="3"/>
      <c r="D3" s="3"/>
      <c r="E3" s="4"/>
      <c r="H3" s="26">
        <v>0.02</v>
      </c>
      <c r="I3" s="26">
        <f>0.02/SQRT(3)</f>
        <v>1.1547005383792516E-2</v>
      </c>
      <c r="J3" s="26">
        <v>1.06</v>
      </c>
      <c r="K3" s="27" t="e">
        <f>SQRT(($J$3*N14)^2+$I$3^2)</f>
        <v>#VALUE!</v>
      </c>
      <c r="L3" s="27" t="e">
        <f>SQRT(($J$3*O14)^2+$I$3^2)</f>
        <v>#VALUE!</v>
      </c>
      <c r="M3" s="27" t="e">
        <f>SQRT(($J$3*P14)^2+$I$3^2)</f>
        <v>#VALUE!</v>
      </c>
      <c r="N3" s="5" t="e">
        <f>(B3-B$15)^2</f>
        <v>#VALUE!</v>
      </c>
      <c r="O3" s="5" t="e">
        <f t="shared" ref="O3:P12" si="0">(C3-C$15)^2</f>
        <v>#VALUE!</v>
      </c>
      <c r="P3" s="5" t="e">
        <f t="shared" si="0"/>
        <v>#VALUE!</v>
      </c>
      <c r="R3" s="1" t="e">
        <f>(PI()/4)*$D$15*($B$15^2-$C$15^2)</f>
        <v>#VALUE!</v>
      </c>
      <c r="S3" s="1" t="e">
        <f>SQRT((($B$15^2-$C$15^2)^2)*$M$14^2+((2*$D$15*$B$15)^2)*$K$14^2+((-2*$D$15*$C$15)^2)*$L$14^2)</f>
        <v>#VALUE!</v>
      </c>
    </row>
    <row r="4" spans="1:20" x14ac:dyDescent="0.4">
      <c r="A4" s="1">
        <v>2</v>
      </c>
      <c r="B4" s="3"/>
      <c r="C4" s="3"/>
      <c r="D4" s="3"/>
      <c r="E4" s="4"/>
      <c r="H4" s="26"/>
      <c r="I4" s="26"/>
      <c r="J4" s="26"/>
      <c r="K4" s="27"/>
      <c r="L4" s="27"/>
      <c r="M4" s="27"/>
      <c r="N4" s="5" t="e">
        <f t="shared" ref="N4:N12" si="1">(B4-B$15)^2</f>
        <v>#VALUE!</v>
      </c>
      <c r="O4" s="5" t="e">
        <f t="shared" si="0"/>
        <v>#VALUE!</v>
      </c>
      <c r="P4" s="5" t="e">
        <f t="shared" si="0"/>
        <v>#VALUE!</v>
      </c>
      <c r="R4" s="24" t="s">
        <v>19</v>
      </c>
      <c r="S4" s="24"/>
    </row>
    <row r="5" spans="1:20" x14ac:dyDescent="0.4">
      <c r="A5" s="1">
        <v>3</v>
      </c>
      <c r="B5" s="3"/>
      <c r="C5" s="3"/>
      <c r="D5" s="3"/>
      <c r="E5" s="4"/>
      <c r="H5" s="26"/>
      <c r="I5" s="26"/>
      <c r="J5" s="26"/>
      <c r="K5" s="27"/>
      <c r="L5" s="27"/>
      <c r="M5" s="27"/>
      <c r="N5" s="5" t="e">
        <f t="shared" si="1"/>
        <v>#VALUE!</v>
      </c>
      <c r="O5" s="5" t="e">
        <f t="shared" si="0"/>
        <v>#VALUE!</v>
      </c>
      <c r="P5" s="5" t="e">
        <f t="shared" si="0"/>
        <v>#VALUE!</v>
      </c>
      <c r="R5" s="1" t="e">
        <f>TranValue(R3,2)</f>
        <v>#VALUE!</v>
      </c>
      <c r="S5" s="1">
        <v>101.18696488186657</v>
      </c>
    </row>
    <row r="6" spans="1:20" x14ac:dyDescent="0.4">
      <c r="A6" s="1">
        <v>4</v>
      </c>
      <c r="B6" s="3"/>
      <c r="C6" s="3"/>
      <c r="D6" s="3"/>
      <c r="E6" s="4"/>
      <c r="H6" s="26"/>
      <c r="I6" s="26"/>
      <c r="J6" s="26"/>
      <c r="K6" s="27"/>
      <c r="L6" s="27"/>
      <c r="M6" s="27"/>
      <c r="N6" s="5" t="e">
        <f t="shared" si="1"/>
        <v>#VALUE!</v>
      </c>
      <c r="O6" s="5" t="e">
        <f t="shared" si="0"/>
        <v>#VALUE!</v>
      </c>
      <c r="P6" s="5" t="e">
        <f t="shared" si="0"/>
        <v>#VALUE!</v>
      </c>
      <c r="R6" s="28" t="s">
        <v>20</v>
      </c>
      <c r="S6" s="28"/>
    </row>
    <row r="7" spans="1:20" x14ac:dyDescent="0.4">
      <c r="A7" s="1">
        <v>5</v>
      </c>
      <c r="B7" s="3"/>
      <c r="C7" s="3"/>
      <c r="D7" s="3"/>
      <c r="E7" s="4"/>
      <c r="H7" s="26"/>
      <c r="I7" s="26"/>
      <c r="J7" s="26"/>
      <c r="K7" s="27"/>
      <c r="L7" s="27"/>
      <c r="M7" s="27"/>
      <c r="N7" s="5" t="e">
        <f t="shared" si="1"/>
        <v>#VALUE!</v>
      </c>
      <c r="O7" s="5" t="e">
        <f t="shared" si="0"/>
        <v>#VALUE!</v>
      </c>
      <c r="P7" s="5" t="e">
        <f t="shared" si="0"/>
        <v>#VALUE!</v>
      </c>
      <c r="R7" s="6" t="e">
        <f>TranValue(R5,2)</f>
        <v>#VALUE!</v>
      </c>
      <c r="S7" s="7">
        <v>101.18696488186657</v>
      </c>
      <c r="T7" s="7" t="s">
        <v>21</v>
      </c>
    </row>
    <row r="8" spans="1:20" x14ac:dyDescent="0.4">
      <c r="A8" s="1">
        <v>6</v>
      </c>
      <c r="B8" s="3"/>
      <c r="C8" s="3"/>
      <c r="D8" s="3"/>
      <c r="E8" s="4"/>
      <c r="H8" s="26"/>
      <c r="I8" s="26"/>
      <c r="J8" s="26"/>
      <c r="K8" s="27"/>
      <c r="L8" s="27"/>
      <c r="M8" s="27"/>
      <c r="N8" s="5" t="e">
        <f t="shared" si="1"/>
        <v>#VALUE!</v>
      </c>
      <c r="O8" s="5" t="e">
        <f t="shared" si="0"/>
        <v>#VALUE!</v>
      </c>
      <c r="P8" s="5" t="e">
        <f t="shared" si="0"/>
        <v>#VALUE!</v>
      </c>
    </row>
    <row r="9" spans="1:20" x14ac:dyDescent="0.4">
      <c r="A9" s="1">
        <v>7</v>
      </c>
      <c r="B9" s="3"/>
      <c r="C9" s="3"/>
      <c r="D9" s="3"/>
      <c r="E9" s="4"/>
      <c r="H9" s="26"/>
      <c r="I9" s="26"/>
      <c r="J9" s="26"/>
      <c r="K9" s="27"/>
      <c r="L9" s="27"/>
      <c r="M9" s="27"/>
      <c r="N9" s="5" t="e">
        <f t="shared" si="1"/>
        <v>#VALUE!</v>
      </c>
      <c r="O9" s="5" t="e">
        <f t="shared" si="0"/>
        <v>#VALUE!</v>
      </c>
      <c r="P9" s="5" t="e">
        <f t="shared" si="0"/>
        <v>#VALUE!</v>
      </c>
      <c r="R9" s="28" t="s">
        <v>22</v>
      </c>
      <c r="S9" s="28"/>
    </row>
    <row r="10" spans="1:20" x14ac:dyDescent="0.4">
      <c r="A10" s="1">
        <v>8</v>
      </c>
      <c r="B10" s="3"/>
      <c r="C10" s="3"/>
      <c r="D10" s="3"/>
      <c r="E10" s="4"/>
      <c r="H10" s="26"/>
      <c r="I10" s="26"/>
      <c r="J10" s="26"/>
      <c r="K10" s="27"/>
      <c r="L10" s="27"/>
      <c r="M10" s="27"/>
      <c r="N10" s="5" t="e">
        <f t="shared" si="1"/>
        <v>#VALUE!</v>
      </c>
      <c r="O10" s="5" t="e">
        <f t="shared" si="0"/>
        <v>#VALUE!</v>
      </c>
      <c r="P10" s="5" t="e">
        <f t="shared" si="0"/>
        <v>#VALUE!</v>
      </c>
      <c r="R10" s="28">
        <v>0.68300000000000005</v>
      </c>
      <c r="S10" s="28"/>
    </row>
    <row r="11" spans="1:20" x14ac:dyDescent="0.4">
      <c r="A11" s="1">
        <v>9</v>
      </c>
      <c r="B11" s="3"/>
      <c r="C11" s="3"/>
      <c r="D11" s="3"/>
      <c r="E11" s="4"/>
      <c r="H11" s="26"/>
      <c r="I11" s="26"/>
      <c r="J11" s="26"/>
      <c r="K11" s="27"/>
      <c r="L11" s="27"/>
      <c r="M11" s="27"/>
      <c r="N11" s="5" t="e">
        <f t="shared" si="1"/>
        <v>#VALUE!</v>
      </c>
      <c r="O11" s="5" t="e">
        <f t="shared" si="0"/>
        <v>#VALUE!</v>
      </c>
      <c r="P11" s="5" t="e">
        <f t="shared" si="0"/>
        <v>#VALUE!</v>
      </c>
    </row>
    <row r="12" spans="1:20" x14ac:dyDescent="0.4">
      <c r="A12" s="1">
        <v>10</v>
      </c>
      <c r="B12" s="3"/>
      <c r="C12" s="3"/>
      <c r="D12" s="3"/>
      <c r="E12" s="4"/>
      <c r="H12" s="26"/>
      <c r="I12" s="26"/>
      <c r="J12" s="26"/>
      <c r="K12" s="27"/>
      <c r="L12" s="27"/>
      <c r="M12" s="27"/>
      <c r="N12" s="5" t="e">
        <f t="shared" si="1"/>
        <v>#VALUE!</v>
      </c>
      <c r="O12" s="5" t="e">
        <f t="shared" si="0"/>
        <v>#VALUE!</v>
      </c>
      <c r="P12" s="5" t="e">
        <f t="shared" si="0"/>
        <v>#VALUE!</v>
      </c>
    </row>
    <row r="13" spans="1:20" x14ac:dyDescent="0.4">
      <c r="A13" s="1" t="s">
        <v>23</v>
      </c>
      <c r="B13" s="8" t="e">
        <f>AVERAGE(B3:B12)</f>
        <v>#DIV/0!</v>
      </c>
      <c r="C13" s="8" t="e">
        <f>AVERAGE(C3:C12)</f>
        <v>#DIV/0!</v>
      </c>
      <c r="D13" s="8" t="e">
        <f>AVERAGE(D3:D12)</f>
        <v>#DIV/0!</v>
      </c>
      <c r="E13" s="2"/>
      <c r="H13" s="9"/>
      <c r="I13" s="9"/>
      <c r="J13" s="9"/>
      <c r="K13" s="7" t="s">
        <v>24</v>
      </c>
      <c r="L13" s="7" t="s">
        <v>25</v>
      </c>
      <c r="M13" s="7" t="s">
        <v>3</v>
      </c>
      <c r="N13" s="23" t="s">
        <v>26</v>
      </c>
      <c r="O13" s="23"/>
      <c r="P13" s="23"/>
    </row>
    <row r="14" spans="1:20" x14ac:dyDescent="0.4">
      <c r="E14" s="2"/>
      <c r="I14" s="10"/>
      <c r="K14" s="21" t="e">
        <f>ROUNDUP(K3,2)</f>
        <v>#VALUE!</v>
      </c>
      <c r="L14" s="21" t="e">
        <f t="shared" ref="L14:M14" si="2">ROUNDUP(L3,2)</f>
        <v>#VALUE!</v>
      </c>
      <c r="M14" s="21" t="e">
        <f t="shared" si="2"/>
        <v>#VALUE!</v>
      </c>
      <c r="N14" s="22" t="e">
        <f>SQRT(SUM(N3:N12)/($A$12*$A$11))</f>
        <v>#VALUE!</v>
      </c>
      <c r="O14" s="22" t="e">
        <f t="shared" ref="O14:P14" si="3">SQRT(SUM(O3:O12)/($A$12*$A$11))</f>
        <v>#VALUE!</v>
      </c>
      <c r="P14" s="22" t="e">
        <f t="shared" si="3"/>
        <v>#VALUE!</v>
      </c>
    </row>
    <row r="15" spans="1:20" x14ac:dyDescent="0.4">
      <c r="A15" s="7" t="s">
        <v>27</v>
      </c>
      <c r="B15" s="11" t="e">
        <f>TranValue(B13,2)</f>
        <v>#VALUE!</v>
      </c>
      <c r="C15" s="11" t="e">
        <f>TranValue(C13,2)</f>
        <v>#VALUE!</v>
      </c>
      <c r="D15" s="11" t="e">
        <f>TranValue(D13,2)</f>
        <v>#VALUE!</v>
      </c>
      <c r="E15" s="2"/>
      <c r="F15" s="2"/>
      <c r="G15" s="2"/>
      <c r="H15" s="2"/>
      <c r="I15" s="2"/>
      <c r="K15" s="7" t="s">
        <v>28</v>
      </c>
      <c r="L15" s="7" t="s">
        <v>29</v>
      </c>
      <c r="M15" s="7" t="s">
        <v>30</v>
      </c>
    </row>
    <row r="16" spans="1:20" x14ac:dyDescent="0.4">
      <c r="K16" s="12" t="e">
        <f>K$14/B$15</f>
        <v>#VALUE!</v>
      </c>
      <c r="L16" s="12" t="e">
        <f t="shared" ref="L16:M16" si="4">L$14/C$15</f>
        <v>#VALUE!</v>
      </c>
      <c r="M16" s="12" t="e">
        <f t="shared" si="4"/>
        <v>#VALUE!</v>
      </c>
    </row>
    <row r="17" spans="1:15" s="2" customFormat="1" x14ac:dyDescent="0.4">
      <c r="A17" s="24" t="s">
        <v>31</v>
      </c>
      <c r="B17" s="24"/>
      <c r="C17" s="24"/>
      <c r="D17" s="24"/>
      <c r="E17" s="24"/>
      <c r="F17" s="24"/>
      <c r="G17" s="1"/>
      <c r="H17" s="1"/>
      <c r="I17" s="1"/>
      <c r="J17" s="1"/>
      <c r="K17" s="1"/>
      <c r="L17" s="1"/>
      <c r="M17" s="1"/>
      <c r="N17" s="1"/>
      <c r="O17" s="1"/>
    </row>
    <row r="18" spans="1:15" s="2" customFormat="1" x14ac:dyDescent="0.4">
      <c r="A18" s="1" t="s">
        <v>11</v>
      </c>
      <c r="B18" s="1" t="s">
        <v>32</v>
      </c>
      <c r="C18" s="1" t="s">
        <v>33</v>
      </c>
      <c r="D18" s="1" t="s">
        <v>5</v>
      </c>
      <c r="E18" s="1" t="s">
        <v>34</v>
      </c>
      <c r="F18" s="1" t="s">
        <v>35</v>
      </c>
      <c r="G18" s="1"/>
      <c r="H18" s="1" t="s">
        <v>14</v>
      </c>
      <c r="I18" s="1" t="s">
        <v>6</v>
      </c>
      <c r="J18" s="1" t="s">
        <v>36</v>
      </c>
      <c r="K18" s="1" t="s">
        <v>7</v>
      </c>
      <c r="L18" s="1" t="s">
        <v>8</v>
      </c>
      <c r="M18" s="1"/>
      <c r="N18" s="25" t="s">
        <v>4</v>
      </c>
      <c r="O18" s="25"/>
    </row>
    <row r="19" spans="1:15" s="2" customFormat="1" x14ac:dyDescent="0.4">
      <c r="A19" s="1">
        <v>1</v>
      </c>
      <c r="B19" s="13"/>
      <c r="C19" s="13"/>
      <c r="D19" s="14">
        <f>B19-$F$19</f>
        <v>0</v>
      </c>
      <c r="E19" s="14">
        <f>C19-$F$19</f>
        <v>0</v>
      </c>
      <c r="F19" s="29"/>
      <c r="G19" s="1"/>
      <c r="H19" s="26">
        <v>4.0000000000000001E-3</v>
      </c>
      <c r="I19" s="26">
        <f>0.004/SQRT(3)</f>
        <v>2.3094010767585032E-3</v>
      </c>
      <c r="J19" s="26">
        <v>1.06</v>
      </c>
      <c r="K19" s="27">
        <f>SQRT(($J$19*N30)^2+$I$19^2)</f>
        <v>2.3094010767585032E-3</v>
      </c>
      <c r="L19" s="27">
        <f>SQRT(($J$19*O30)^2+$I$19^2)</f>
        <v>2.3094010767585032E-3</v>
      </c>
      <c r="M19" s="1"/>
      <c r="N19" s="15">
        <f>(D19-D$31)^2</f>
        <v>0</v>
      </c>
      <c r="O19" s="15">
        <f>(E19-E$31)^2</f>
        <v>0</v>
      </c>
    </row>
    <row r="20" spans="1:15" s="2" customFormat="1" x14ac:dyDescent="0.4">
      <c r="A20" s="1">
        <v>2</v>
      </c>
      <c r="B20" s="13"/>
      <c r="C20" s="13"/>
      <c r="D20" s="14">
        <f t="shared" ref="D20:E28" si="5">B20-$F$19</f>
        <v>0</v>
      </c>
      <c r="E20" s="14">
        <f t="shared" si="5"/>
        <v>0</v>
      </c>
      <c r="F20" s="29"/>
      <c r="G20" s="1"/>
      <c r="H20" s="26"/>
      <c r="I20" s="26"/>
      <c r="J20" s="26"/>
      <c r="K20" s="27"/>
      <c r="L20" s="27"/>
      <c r="M20" s="1"/>
      <c r="N20" s="15">
        <f t="shared" ref="N20:O28" si="6">(D20-D$31)^2</f>
        <v>0</v>
      </c>
      <c r="O20" s="15">
        <f t="shared" si="6"/>
        <v>0</v>
      </c>
    </row>
    <row r="21" spans="1:15" s="2" customFormat="1" x14ac:dyDescent="0.4">
      <c r="A21" s="1">
        <v>3</v>
      </c>
      <c r="B21" s="13"/>
      <c r="C21" s="13"/>
      <c r="D21" s="14">
        <f t="shared" si="5"/>
        <v>0</v>
      </c>
      <c r="E21" s="14">
        <f t="shared" si="5"/>
        <v>0</v>
      </c>
      <c r="F21" s="29"/>
      <c r="G21" s="1"/>
      <c r="H21" s="26"/>
      <c r="I21" s="26"/>
      <c r="J21" s="26"/>
      <c r="K21" s="27"/>
      <c r="L21" s="27"/>
      <c r="M21" s="1"/>
      <c r="N21" s="15">
        <f t="shared" si="6"/>
        <v>0</v>
      </c>
      <c r="O21" s="15">
        <f t="shared" si="6"/>
        <v>0</v>
      </c>
    </row>
    <row r="22" spans="1:15" s="2" customFormat="1" x14ac:dyDescent="0.4">
      <c r="A22" s="1">
        <v>4</v>
      </c>
      <c r="B22" s="13"/>
      <c r="C22" s="13"/>
      <c r="D22" s="14">
        <f t="shared" si="5"/>
        <v>0</v>
      </c>
      <c r="E22" s="14">
        <f t="shared" si="5"/>
        <v>0</v>
      </c>
      <c r="F22" s="29"/>
      <c r="G22" s="1"/>
      <c r="H22" s="26"/>
      <c r="I22" s="26"/>
      <c r="J22" s="26"/>
      <c r="K22" s="27"/>
      <c r="L22" s="27"/>
      <c r="M22" s="1"/>
      <c r="N22" s="15">
        <f t="shared" si="6"/>
        <v>0</v>
      </c>
      <c r="O22" s="15">
        <f t="shared" si="6"/>
        <v>0</v>
      </c>
    </row>
    <row r="23" spans="1:15" s="2" customFormat="1" x14ac:dyDescent="0.4">
      <c r="A23" s="1">
        <v>5</v>
      </c>
      <c r="B23" s="13"/>
      <c r="C23" s="13"/>
      <c r="D23" s="14">
        <f t="shared" si="5"/>
        <v>0</v>
      </c>
      <c r="E23" s="14">
        <f t="shared" si="5"/>
        <v>0</v>
      </c>
      <c r="F23" s="29"/>
      <c r="G23" s="1"/>
      <c r="H23" s="26"/>
      <c r="I23" s="26"/>
      <c r="J23" s="26"/>
      <c r="K23" s="27"/>
      <c r="L23" s="27"/>
      <c r="M23" s="1"/>
      <c r="N23" s="15">
        <f t="shared" si="6"/>
        <v>0</v>
      </c>
      <c r="O23" s="15">
        <f t="shared" si="6"/>
        <v>0</v>
      </c>
    </row>
    <row r="24" spans="1:15" s="2" customFormat="1" x14ac:dyDescent="0.4">
      <c r="A24" s="1">
        <v>6</v>
      </c>
      <c r="B24" s="13"/>
      <c r="C24" s="13"/>
      <c r="D24" s="14">
        <f t="shared" si="5"/>
        <v>0</v>
      </c>
      <c r="E24" s="14">
        <f t="shared" si="5"/>
        <v>0</v>
      </c>
      <c r="F24" s="29"/>
      <c r="G24" s="1"/>
      <c r="H24" s="26"/>
      <c r="I24" s="26"/>
      <c r="J24" s="26"/>
      <c r="K24" s="27"/>
      <c r="L24" s="27"/>
      <c r="M24" s="1"/>
      <c r="N24" s="15">
        <f t="shared" si="6"/>
        <v>0</v>
      </c>
      <c r="O24" s="15">
        <f t="shared" si="6"/>
        <v>0</v>
      </c>
    </row>
    <row r="25" spans="1:15" s="2" customFormat="1" x14ac:dyDescent="0.4">
      <c r="A25" s="1">
        <v>7</v>
      </c>
      <c r="B25" s="13"/>
      <c r="C25" s="13"/>
      <c r="D25" s="14">
        <f t="shared" si="5"/>
        <v>0</v>
      </c>
      <c r="E25" s="14">
        <f t="shared" si="5"/>
        <v>0</v>
      </c>
      <c r="F25" s="29"/>
      <c r="G25" s="1"/>
      <c r="H25" s="26"/>
      <c r="I25" s="26"/>
      <c r="J25" s="26"/>
      <c r="K25" s="27"/>
      <c r="L25" s="27"/>
      <c r="M25" s="1"/>
      <c r="N25" s="15">
        <f t="shared" si="6"/>
        <v>0</v>
      </c>
      <c r="O25" s="15">
        <f t="shared" si="6"/>
        <v>0</v>
      </c>
    </row>
    <row r="26" spans="1:15" s="2" customFormat="1" x14ac:dyDescent="0.4">
      <c r="A26" s="1">
        <v>8</v>
      </c>
      <c r="B26" s="13"/>
      <c r="C26" s="13"/>
      <c r="D26" s="14">
        <f t="shared" si="5"/>
        <v>0</v>
      </c>
      <c r="E26" s="14">
        <f t="shared" si="5"/>
        <v>0</v>
      </c>
      <c r="F26" s="29"/>
      <c r="G26" s="1"/>
      <c r="H26" s="26"/>
      <c r="I26" s="26"/>
      <c r="J26" s="26"/>
      <c r="K26" s="27"/>
      <c r="L26" s="27"/>
      <c r="M26" s="1"/>
      <c r="N26" s="15">
        <f t="shared" si="6"/>
        <v>0</v>
      </c>
      <c r="O26" s="15">
        <f t="shared" si="6"/>
        <v>0</v>
      </c>
    </row>
    <row r="27" spans="1:15" s="2" customFormat="1" x14ac:dyDescent="0.4">
      <c r="A27" s="1">
        <v>9</v>
      </c>
      <c r="B27" s="13"/>
      <c r="C27" s="13"/>
      <c r="D27" s="14">
        <f t="shared" si="5"/>
        <v>0</v>
      </c>
      <c r="E27" s="14">
        <f t="shared" si="5"/>
        <v>0</v>
      </c>
      <c r="F27" s="29"/>
      <c r="G27" s="1"/>
      <c r="H27" s="26"/>
      <c r="I27" s="26"/>
      <c r="J27" s="26"/>
      <c r="K27" s="27"/>
      <c r="L27" s="27"/>
      <c r="M27" s="1"/>
      <c r="N27" s="15">
        <f t="shared" si="6"/>
        <v>0</v>
      </c>
      <c r="O27" s="15">
        <f t="shared" si="6"/>
        <v>0</v>
      </c>
    </row>
    <row r="28" spans="1:15" s="2" customFormat="1" x14ac:dyDescent="0.4">
      <c r="A28" s="1">
        <v>10</v>
      </c>
      <c r="B28" s="13"/>
      <c r="C28" s="13"/>
      <c r="D28" s="14">
        <f t="shared" si="5"/>
        <v>0</v>
      </c>
      <c r="E28" s="14">
        <f t="shared" si="5"/>
        <v>0</v>
      </c>
      <c r="F28" s="29"/>
      <c r="G28" s="1"/>
      <c r="H28" s="26"/>
      <c r="I28" s="26"/>
      <c r="J28" s="26"/>
      <c r="K28" s="27"/>
      <c r="L28" s="27"/>
      <c r="M28" s="1"/>
      <c r="N28" s="15">
        <f t="shared" si="6"/>
        <v>0</v>
      </c>
      <c r="O28" s="15">
        <f t="shared" si="6"/>
        <v>0</v>
      </c>
    </row>
    <row r="29" spans="1:15" s="2" customFormat="1" x14ac:dyDescent="0.4">
      <c r="A29" s="1" t="s">
        <v>23</v>
      </c>
      <c r="B29" s="16" t="e">
        <f>AVERAGE(B19:B28)</f>
        <v>#DIV/0!</v>
      </c>
      <c r="C29" s="16" t="e">
        <f t="shared" ref="C29:E29" si="7">AVERAGE(C19:C28)</f>
        <v>#DIV/0!</v>
      </c>
      <c r="D29" s="16">
        <f t="shared" si="7"/>
        <v>0</v>
      </c>
      <c r="E29" s="16">
        <f t="shared" si="7"/>
        <v>0</v>
      </c>
      <c r="F29" s="17"/>
      <c r="G29" s="20"/>
      <c r="H29" s="1"/>
      <c r="I29" s="1"/>
      <c r="J29" s="1"/>
      <c r="K29" s="7" t="s">
        <v>7</v>
      </c>
      <c r="L29" s="7" t="s">
        <v>8</v>
      </c>
      <c r="M29" s="1"/>
      <c r="N29" s="23" t="s">
        <v>9</v>
      </c>
      <c r="O29" s="23"/>
    </row>
    <row r="30" spans="1:15" s="2" customFormat="1" x14ac:dyDescent="0.4">
      <c r="A30" s="1"/>
      <c r="B30" s="17"/>
      <c r="C30" s="17"/>
      <c r="D30" s="17"/>
      <c r="E30" s="17"/>
      <c r="F30" s="17"/>
      <c r="G30" s="17"/>
      <c r="H30" s="1"/>
      <c r="I30" s="1"/>
      <c r="J30" s="1"/>
      <c r="K30" s="18">
        <f t="shared" ref="K30:L30" si="8">ROUNDUP(K19,3)</f>
        <v>3.0000000000000001E-3</v>
      </c>
      <c r="L30" s="18">
        <f t="shared" si="8"/>
        <v>3.0000000000000001E-3</v>
      </c>
      <c r="M30" s="1"/>
      <c r="N30" s="22">
        <f>SQRT(SUM(N19:N28)/($A$28*$A$27))</f>
        <v>0</v>
      </c>
      <c r="O30" s="22">
        <f>SQRT(SUM(O19:O28)/($A$28*$A$27))</f>
        <v>0</v>
      </c>
    </row>
    <row r="31" spans="1:15" s="2" customFormat="1" x14ac:dyDescent="0.4">
      <c r="A31" s="7" t="s">
        <v>27</v>
      </c>
      <c r="B31" s="14"/>
      <c r="C31" s="14"/>
      <c r="D31" s="18">
        <f t="shared" ref="D31:E31" si="9">TranValue(D29,3)</f>
        <v>0</v>
      </c>
      <c r="E31" s="18">
        <f t="shared" si="9"/>
        <v>0</v>
      </c>
      <c r="F31" s="17"/>
      <c r="G31" s="1"/>
      <c r="H31" s="1"/>
      <c r="I31" s="1"/>
      <c r="J31" s="1"/>
      <c r="K31" s="7" t="s">
        <v>37</v>
      </c>
      <c r="L31" s="7" t="s">
        <v>38</v>
      </c>
      <c r="M31" s="1"/>
      <c r="N31" s="1"/>
      <c r="O31" s="1"/>
    </row>
    <row r="32" spans="1:15" s="2" customFormat="1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2" t="e">
        <f>K$30/D$31</f>
        <v>#DIV/0!</v>
      </c>
      <c r="L32" s="12" t="e">
        <f>L$30/E$31</f>
        <v>#DIV/0!</v>
      </c>
      <c r="M32" s="1"/>
      <c r="N32" s="1"/>
      <c r="O32" s="1"/>
    </row>
  </sheetData>
  <mergeCells count="22">
    <mergeCell ref="L19:L28"/>
    <mergeCell ref="F19:F28"/>
    <mergeCell ref="H19:H28"/>
    <mergeCell ref="I19:I28"/>
    <mergeCell ref="J19:J28"/>
    <mergeCell ref="K19:K28"/>
    <mergeCell ref="R4:S4"/>
    <mergeCell ref="R6:S6"/>
    <mergeCell ref="R9:S9"/>
    <mergeCell ref="R10:S10"/>
    <mergeCell ref="N29:O29"/>
    <mergeCell ref="N18:O18"/>
    <mergeCell ref="N13:P13"/>
    <mergeCell ref="A17:F17"/>
    <mergeCell ref="A1:D1"/>
    <mergeCell ref="N2:P2"/>
    <mergeCell ref="H3:H12"/>
    <mergeCell ref="I3:I12"/>
    <mergeCell ref="J3:J12"/>
    <mergeCell ref="K3:K12"/>
    <mergeCell ref="L3:L12"/>
    <mergeCell ref="M3:M1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基本测量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IcyBiscuit</dc:creator>
  <cp:lastModifiedBy>符家铭</cp:lastModifiedBy>
  <dcterms:created xsi:type="dcterms:W3CDTF">2016-04-01T12:35:35Z</dcterms:created>
  <dcterms:modified xsi:type="dcterms:W3CDTF">2016-04-02T13:07:46Z</dcterms:modified>
</cp:coreProperties>
</file>