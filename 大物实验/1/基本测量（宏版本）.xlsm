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426" codeName="{0EBEE25D-5E30-3CCF-7B8A-937B5088EA05}"/>
  <workbookPr filterPrivacy="1" codeName="ThisWorkbook" defaultThemeVersion="164011"/>
  <bookViews>
    <workbookView minimized="1" xWindow="0" yWindow="8400" windowWidth="22260" windowHeight="12645" activeTab="1"/>
  </bookViews>
  <sheets>
    <sheet name="基本测量" sheetId="1" r:id="rId1"/>
    <sheet name="小黄车" sheetId="2" r:id="rId2"/>
    <sheet name="意林" sheetId="6" r:id="rId3"/>
    <sheet name="板甲" sheetId="3" r:id="rId4"/>
    <sheet name="沐白" sheetId="4" r:id="rId5"/>
    <sheet name="马纸濵" sheetId="5" r:id="rId6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7" i="2" l="1"/>
  <c r="B47" i="2" s="1"/>
  <c r="B38" i="2"/>
  <c r="B39" i="2"/>
  <c r="B40" i="2"/>
  <c r="B41" i="2"/>
  <c r="B42" i="2"/>
  <c r="B43" i="2"/>
  <c r="B44" i="2"/>
  <c r="B45" i="2"/>
  <c r="B46" i="2"/>
  <c r="I37" i="2"/>
  <c r="B49" i="2"/>
  <c r="I19" i="2" l="1"/>
  <c r="I19" i="6"/>
  <c r="I19" i="3"/>
  <c r="I19" i="4"/>
  <c r="I19" i="5"/>
  <c r="I19" i="1"/>
  <c r="I3" i="2"/>
  <c r="I3" i="6"/>
  <c r="I3" i="3"/>
  <c r="I3" i="4"/>
  <c r="I3" i="5"/>
  <c r="I3" i="1"/>
  <c r="C29" i="1" l="1"/>
  <c r="D29" i="1"/>
  <c r="E29" i="1"/>
  <c r="C29" i="2"/>
  <c r="D29" i="2"/>
  <c r="E29" i="2"/>
  <c r="C29" i="6"/>
  <c r="D29" i="6"/>
  <c r="E29" i="6"/>
  <c r="C29" i="4"/>
  <c r="D29" i="4"/>
  <c r="E29" i="4"/>
  <c r="C29" i="5"/>
  <c r="D29" i="5"/>
  <c r="E29" i="5"/>
  <c r="C29" i="3"/>
  <c r="D29" i="3"/>
  <c r="E29" i="3"/>
  <c r="E31" i="4"/>
  <c r="E31" i="5"/>
  <c r="D31" i="6"/>
  <c r="D31" i="5"/>
  <c r="D31" i="4"/>
  <c r="E31" i="3"/>
  <c r="D31" i="2"/>
  <c r="E31" i="2"/>
  <c r="D31" i="3"/>
  <c r="D31" i="1"/>
  <c r="E31" i="6"/>
  <c r="E31" i="1"/>
  <c r="L45" i="2" l="1"/>
  <c r="L41" i="2"/>
  <c r="L44" i="2"/>
  <c r="L40" i="2"/>
  <c r="L42" i="2"/>
  <c r="L43" i="2"/>
  <c r="L39" i="2"/>
  <c r="L46" i="2"/>
  <c r="L38" i="2"/>
  <c r="L37" i="2"/>
  <c r="N20" i="2"/>
  <c r="N24" i="2"/>
  <c r="N28" i="2"/>
  <c r="N21" i="2"/>
  <c r="N25" i="2"/>
  <c r="N22" i="2"/>
  <c r="N26" i="2"/>
  <c r="N19" i="2"/>
  <c r="N23" i="2"/>
  <c r="N27" i="2"/>
  <c r="N23" i="6"/>
  <c r="N27" i="6"/>
  <c r="N20" i="6"/>
  <c r="N24" i="6"/>
  <c r="N28" i="6"/>
  <c r="N21" i="6"/>
  <c r="N25" i="6"/>
  <c r="N22" i="6"/>
  <c r="N26" i="6"/>
  <c r="N19" i="6"/>
  <c r="N20" i="5"/>
  <c r="N24" i="5"/>
  <c r="N28" i="5"/>
  <c r="N21" i="5"/>
  <c r="N25" i="5"/>
  <c r="N22" i="5"/>
  <c r="N26" i="5"/>
  <c r="N19" i="5"/>
  <c r="N23" i="5"/>
  <c r="N27" i="5"/>
  <c r="O21" i="6"/>
  <c r="O25" i="6"/>
  <c r="O22" i="6"/>
  <c r="O26" i="6"/>
  <c r="O19" i="6"/>
  <c r="O23" i="6"/>
  <c r="O27" i="6"/>
  <c r="O20" i="6"/>
  <c r="O24" i="6"/>
  <c r="O28" i="6"/>
  <c r="O19" i="3"/>
  <c r="O23" i="3"/>
  <c r="O27" i="3"/>
  <c r="O20" i="3"/>
  <c r="O24" i="3"/>
  <c r="O28" i="3"/>
  <c r="O21" i="3"/>
  <c r="O25" i="3"/>
  <c r="O22" i="3"/>
  <c r="O26" i="3"/>
  <c r="O19" i="5"/>
  <c r="O23" i="5"/>
  <c r="O27" i="5"/>
  <c r="O20" i="5"/>
  <c r="O24" i="5"/>
  <c r="O28" i="5"/>
  <c r="O21" i="5"/>
  <c r="O25" i="5"/>
  <c r="O22" i="5"/>
  <c r="O26" i="5"/>
  <c r="O19" i="2"/>
  <c r="O23" i="2"/>
  <c r="O27" i="2"/>
  <c r="O20" i="2"/>
  <c r="O24" i="2"/>
  <c r="O28" i="2"/>
  <c r="O21" i="2"/>
  <c r="O25" i="2"/>
  <c r="O22" i="2"/>
  <c r="O26" i="2"/>
  <c r="N23" i="1"/>
  <c r="N27" i="1"/>
  <c r="N20" i="1"/>
  <c r="N24" i="1"/>
  <c r="N28" i="1"/>
  <c r="N21" i="1"/>
  <c r="N25" i="1"/>
  <c r="N22" i="1"/>
  <c r="N26" i="1"/>
  <c r="N19" i="1"/>
  <c r="N21" i="4"/>
  <c r="N25" i="4"/>
  <c r="N22" i="4"/>
  <c r="N26" i="4"/>
  <c r="N19" i="4"/>
  <c r="N23" i="4"/>
  <c r="N27" i="4"/>
  <c r="N20" i="4"/>
  <c r="N24" i="4"/>
  <c r="N28" i="4"/>
  <c r="O21" i="4"/>
  <c r="O25" i="4"/>
  <c r="O22" i="4"/>
  <c r="O26" i="4"/>
  <c r="O19" i="4"/>
  <c r="O23" i="4"/>
  <c r="O27" i="4"/>
  <c r="O20" i="4"/>
  <c r="O24" i="4"/>
  <c r="O28" i="4"/>
  <c r="O21" i="1"/>
  <c r="O25" i="1"/>
  <c r="O22" i="1"/>
  <c r="O26" i="1"/>
  <c r="O19" i="1"/>
  <c r="O23" i="1"/>
  <c r="O27" i="1"/>
  <c r="O20" i="1"/>
  <c r="O24" i="1"/>
  <c r="O28" i="1"/>
  <c r="N22" i="3"/>
  <c r="N26" i="3"/>
  <c r="N19" i="3"/>
  <c r="N23" i="3"/>
  <c r="N27" i="3"/>
  <c r="N20" i="3"/>
  <c r="N24" i="3"/>
  <c r="N28" i="3"/>
  <c r="N21" i="3"/>
  <c r="N25" i="3"/>
  <c r="E19" i="2"/>
  <c r="E20" i="2"/>
  <c r="E21" i="2"/>
  <c r="E22" i="2"/>
  <c r="E23" i="2"/>
  <c r="E24" i="2"/>
  <c r="E25" i="2"/>
  <c r="E26" i="2"/>
  <c r="E27" i="2"/>
  <c r="E28" i="2"/>
  <c r="E19" i="6"/>
  <c r="E20" i="6"/>
  <c r="E21" i="6"/>
  <c r="E22" i="6"/>
  <c r="E23" i="6"/>
  <c r="E24" i="6"/>
  <c r="E25" i="6"/>
  <c r="E26" i="6"/>
  <c r="E27" i="6"/>
  <c r="E28" i="6"/>
  <c r="E19" i="3"/>
  <c r="E20" i="3"/>
  <c r="E21" i="3"/>
  <c r="E22" i="3"/>
  <c r="E23" i="3"/>
  <c r="E24" i="3"/>
  <c r="E25" i="3"/>
  <c r="E26" i="3"/>
  <c r="E27" i="3"/>
  <c r="E28" i="3"/>
  <c r="E19" i="4"/>
  <c r="E20" i="4"/>
  <c r="E21" i="4"/>
  <c r="E22" i="4"/>
  <c r="E23" i="4"/>
  <c r="E24" i="4"/>
  <c r="E25" i="4"/>
  <c r="E26" i="4"/>
  <c r="E27" i="4"/>
  <c r="E28" i="4"/>
  <c r="E19" i="5"/>
  <c r="E20" i="5"/>
  <c r="E21" i="5"/>
  <c r="E22" i="5"/>
  <c r="E23" i="5"/>
  <c r="E24" i="5"/>
  <c r="E25" i="5"/>
  <c r="E26" i="5"/>
  <c r="E27" i="5"/>
  <c r="E28" i="5"/>
  <c r="E19" i="1"/>
  <c r="E20" i="1"/>
  <c r="E21" i="1"/>
  <c r="E22" i="1"/>
  <c r="E23" i="1"/>
  <c r="E24" i="1"/>
  <c r="E25" i="1"/>
  <c r="E26" i="1"/>
  <c r="E27" i="1"/>
  <c r="E28" i="1"/>
  <c r="D20" i="2"/>
  <c r="D21" i="2"/>
  <c r="D22" i="2"/>
  <c r="D23" i="2"/>
  <c r="D24" i="2"/>
  <c r="D25" i="2"/>
  <c r="D26" i="2"/>
  <c r="D27" i="2"/>
  <c r="D28" i="2"/>
  <c r="D20" i="6"/>
  <c r="D21" i="6"/>
  <c r="D22" i="6"/>
  <c r="D23" i="6"/>
  <c r="D24" i="6"/>
  <c r="D25" i="6"/>
  <c r="D26" i="6"/>
  <c r="D27" i="6"/>
  <c r="D28" i="6"/>
  <c r="D20" i="3"/>
  <c r="D21" i="3"/>
  <c r="D22" i="3"/>
  <c r="D23" i="3"/>
  <c r="D24" i="3"/>
  <c r="D25" i="3"/>
  <c r="D26" i="3"/>
  <c r="D27" i="3"/>
  <c r="D28" i="3"/>
  <c r="D20" i="4"/>
  <c r="D21" i="4"/>
  <c r="D22" i="4"/>
  <c r="D23" i="4"/>
  <c r="D24" i="4"/>
  <c r="D25" i="4"/>
  <c r="D26" i="4"/>
  <c r="D27" i="4"/>
  <c r="D28" i="4"/>
  <c r="D20" i="5"/>
  <c r="D21" i="5"/>
  <c r="D22" i="5"/>
  <c r="D23" i="5"/>
  <c r="D24" i="5"/>
  <c r="D25" i="5"/>
  <c r="D26" i="5"/>
  <c r="D27" i="5"/>
  <c r="D28" i="5"/>
  <c r="D20" i="1"/>
  <c r="D21" i="1"/>
  <c r="D22" i="1"/>
  <c r="D23" i="1"/>
  <c r="D24" i="1"/>
  <c r="D25" i="1"/>
  <c r="D26" i="1"/>
  <c r="D27" i="1"/>
  <c r="D28" i="1"/>
  <c r="D19" i="2"/>
  <c r="D19" i="6"/>
  <c r="D19" i="3"/>
  <c r="D19" i="4"/>
  <c r="D19" i="5"/>
  <c r="D19" i="1"/>
  <c r="B29" i="2"/>
  <c r="B29" i="6"/>
  <c r="B29" i="3"/>
  <c r="B29" i="4"/>
  <c r="B29" i="5"/>
  <c r="B29" i="1"/>
  <c r="C13" i="2"/>
  <c r="D13" i="2"/>
  <c r="C13" i="6"/>
  <c r="D13" i="6"/>
  <c r="C13" i="3"/>
  <c r="D13" i="3"/>
  <c r="C13" i="4"/>
  <c r="D13" i="4"/>
  <c r="C13" i="5"/>
  <c r="D13" i="5"/>
  <c r="C13" i="1"/>
  <c r="D13" i="1"/>
  <c r="B13" i="2"/>
  <c r="B13" i="6"/>
  <c r="B13" i="3"/>
  <c r="B13" i="4"/>
  <c r="B13" i="5"/>
  <c r="B13" i="1"/>
  <c r="C15" i="1"/>
  <c r="D15" i="4"/>
  <c r="C15" i="6"/>
  <c r="D15" i="6"/>
  <c r="B15" i="5"/>
  <c r="B15" i="2"/>
  <c r="B15" i="1"/>
  <c r="C15" i="3"/>
  <c r="C15" i="5"/>
  <c r="B15" i="6"/>
  <c r="B15" i="3"/>
  <c r="D15" i="2"/>
  <c r="B15" i="4"/>
  <c r="C15" i="4"/>
  <c r="D15" i="3"/>
  <c r="D15" i="5"/>
  <c r="D15" i="1"/>
  <c r="C15" i="2"/>
  <c r="N30" i="4" l="1"/>
  <c r="N30" i="5"/>
  <c r="L48" i="2"/>
  <c r="K37" i="2" s="1"/>
  <c r="K48" i="2" s="1"/>
  <c r="N30" i="1"/>
  <c r="N30" i="6"/>
  <c r="N30" i="3"/>
  <c r="N30" i="2"/>
  <c r="R3" i="6"/>
  <c r="R3" i="4"/>
  <c r="R3" i="5"/>
  <c r="R3" i="1"/>
  <c r="R3" i="3"/>
  <c r="R3" i="2"/>
  <c r="N5" i="4"/>
  <c r="N9" i="4"/>
  <c r="N3" i="4"/>
  <c r="N4" i="4"/>
  <c r="N8" i="4"/>
  <c r="N12" i="4"/>
  <c r="N7" i="4"/>
  <c r="N11" i="4"/>
  <c r="N10" i="4"/>
  <c r="N6" i="4"/>
  <c r="N3" i="3"/>
  <c r="N4" i="3"/>
  <c r="N8" i="3"/>
  <c r="N12" i="3"/>
  <c r="N7" i="3"/>
  <c r="N11" i="3"/>
  <c r="N6" i="3"/>
  <c r="N10" i="3"/>
  <c r="N9" i="3"/>
  <c r="N5" i="3"/>
  <c r="N4" i="1"/>
  <c r="N8" i="1"/>
  <c r="N12" i="1"/>
  <c r="N5" i="1"/>
  <c r="N9" i="1"/>
  <c r="N3" i="1"/>
  <c r="N7" i="1"/>
  <c r="N11" i="1"/>
  <c r="N6" i="1"/>
  <c r="N10" i="1"/>
  <c r="N7" i="6"/>
  <c r="N11" i="6"/>
  <c r="N6" i="6"/>
  <c r="N10" i="6"/>
  <c r="N5" i="6"/>
  <c r="N9" i="6"/>
  <c r="N3" i="6"/>
  <c r="N8" i="6"/>
  <c r="N4" i="6"/>
  <c r="N12" i="6"/>
  <c r="N5" i="5"/>
  <c r="N3" i="5"/>
  <c r="N4" i="5"/>
  <c r="N7" i="5"/>
  <c r="N11" i="5"/>
  <c r="N8" i="5"/>
  <c r="N6" i="5"/>
  <c r="N10" i="5"/>
  <c r="N12" i="5"/>
  <c r="N9" i="5"/>
  <c r="N6" i="2"/>
  <c r="N10" i="2"/>
  <c r="N5" i="2"/>
  <c r="N9" i="2"/>
  <c r="N3" i="2"/>
  <c r="N4" i="2"/>
  <c r="N8" i="2"/>
  <c r="N12" i="2"/>
  <c r="N7" i="2"/>
  <c r="N11" i="2"/>
  <c r="P5" i="6"/>
  <c r="P9" i="6"/>
  <c r="P4" i="6"/>
  <c r="P8" i="6"/>
  <c r="P12" i="6"/>
  <c r="P3" i="6"/>
  <c r="P7" i="6"/>
  <c r="P11" i="6"/>
  <c r="P6" i="6"/>
  <c r="P10" i="6"/>
  <c r="O5" i="1"/>
  <c r="O9" i="1"/>
  <c r="O4" i="1"/>
  <c r="O8" i="1"/>
  <c r="O12" i="1"/>
  <c r="O6" i="1"/>
  <c r="O10" i="1"/>
  <c r="O3" i="1"/>
  <c r="O7" i="1"/>
  <c r="O11" i="1"/>
  <c r="O6" i="4"/>
  <c r="O10" i="4"/>
  <c r="O5" i="4"/>
  <c r="O9" i="4"/>
  <c r="O4" i="4"/>
  <c r="O8" i="4"/>
  <c r="O12" i="4"/>
  <c r="O3" i="4"/>
  <c r="O11" i="4"/>
  <c r="O7" i="4"/>
  <c r="O4" i="6"/>
  <c r="O8" i="6"/>
  <c r="O12" i="6"/>
  <c r="O3" i="6"/>
  <c r="O7" i="6"/>
  <c r="O11" i="6"/>
  <c r="O6" i="6"/>
  <c r="O10" i="6"/>
  <c r="O9" i="6"/>
  <c r="O5" i="6"/>
  <c r="P6" i="1"/>
  <c r="P10" i="1"/>
  <c r="P5" i="1"/>
  <c r="P9" i="1"/>
  <c r="P4" i="1"/>
  <c r="P8" i="1"/>
  <c r="P12" i="1"/>
  <c r="P3" i="1"/>
  <c r="P7" i="1"/>
  <c r="P11" i="1"/>
  <c r="P4" i="5"/>
  <c r="P3" i="5"/>
  <c r="P5" i="5"/>
  <c r="P9" i="5"/>
  <c r="P10" i="5"/>
  <c r="P8" i="5"/>
  <c r="P12" i="5"/>
  <c r="P6" i="5"/>
  <c r="P7" i="5"/>
  <c r="P11" i="5"/>
  <c r="P6" i="3"/>
  <c r="P10" i="3"/>
  <c r="P5" i="3"/>
  <c r="P9" i="3"/>
  <c r="P4" i="3"/>
  <c r="P8" i="3"/>
  <c r="P12" i="3"/>
  <c r="P3" i="3"/>
  <c r="P11" i="3"/>
  <c r="P7" i="3"/>
  <c r="P4" i="2"/>
  <c r="P8" i="2"/>
  <c r="P12" i="2"/>
  <c r="P3" i="2"/>
  <c r="P7" i="2"/>
  <c r="P11" i="2"/>
  <c r="P6" i="2"/>
  <c r="P10" i="2"/>
  <c r="P5" i="2"/>
  <c r="P9" i="2"/>
  <c r="P3" i="4"/>
  <c r="P7" i="4"/>
  <c r="P11" i="4"/>
  <c r="P6" i="4"/>
  <c r="P10" i="4"/>
  <c r="P5" i="4"/>
  <c r="P9" i="4"/>
  <c r="P4" i="4"/>
  <c r="P8" i="4"/>
  <c r="P12" i="4"/>
  <c r="O3" i="5"/>
  <c r="O5" i="5"/>
  <c r="O8" i="5"/>
  <c r="O12" i="5"/>
  <c r="O7" i="5"/>
  <c r="O11" i="5"/>
  <c r="O6" i="5"/>
  <c r="O10" i="5"/>
  <c r="O4" i="5"/>
  <c r="O9" i="5"/>
  <c r="O5" i="3"/>
  <c r="O9" i="3"/>
  <c r="O4" i="3"/>
  <c r="O8" i="3"/>
  <c r="O12" i="3"/>
  <c r="O3" i="3"/>
  <c r="O7" i="3"/>
  <c r="O11" i="3"/>
  <c r="O10" i="3"/>
  <c r="O6" i="3"/>
  <c r="O3" i="2"/>
  <c r="O7" i="2"/>
  <c r="O11" i="2"/>
  <c r="O6" i="2"/>
  <c r="O10" i="2"/>
  <c r="O5" i="2"/>
  <c r="O9" i="2"/>
  <c r="O12" i="2"/>
  <c r="O8" i="2"/>
  <c r="O4" i="2"/>
  <c r="R5" i="2"/>
  <c r="R5" i="4"/>
  <c r="R5" i="5"/>
  <c r="R5" i="3"/>
  <c r="R5" i="6"/>
  <c r="R5" i="1"/>
  <c r="P14" i="2" l="1"/>
  <c r="O14" i="6"/>
  <c r="O14" i="1"/>
  <c r="P14" i="6"/>
  <c r="N14" i="5"/>
  <c r="N14" i="1"/>
  <c r="O14" i="3"/>
  <c r="P14" i="4"/>
  <c r="N14" i="6"/>
  <c r="P14" i="3"/>
  <c r="P14" i="5"/>
  <c r="P14" i="1"/>
  <c r="O14" i="4"/>
  <c r="O14" i="2"/>
  <c r="O14" i="5"/>
  <c r="N14" i="2"/>
  <c r="N14" i="3"/>
  <c r="N14" i="4"/>
  <c r="O30" i="6"/>
  <c r="O30" i="4"/>
  <c r="K19" i="5"/>
  <c r="K30" i="5" s="1"/>
  <c r="K19" i="6"/>
  <c r="K30" i="6" s="1"/>
  <c r="O30" i="2"/>
  <c r="K19" i="3"/>
  <c r="K30" i="3" s="1"/>
  <c r="K32" i="3" s="1"/>
  <c r="O30" i="5"/>
  <c r="O30" i="3"/>
  <c r="O30" i="1"/>
  <c r="K19" i="2"/>
  <c r="K30" i="2" s="1"/>
  <c r="K19" i="1"/>
  <c r="K30" i="1" s="1"/>
  <c r="K19" i="4"/>
  <c r="K30" i="4" s="1"/>
  <c r="R7" i="5"/>
  <c r="R7" i="4"/>
  <c r="R7" i="1"/>
  <c r="R7" i="3"/>
  <c r="R7" i="6"/>
  <c r="R7" i="2"/>
  <c r="S12" i="1" l="1"/>
  <c r="K32" i="2"/>
  <c r="K50" i="2"/>
  <c r="K32" i="4"/>
  <c r="K3" i="5"/>
  <c r="L19" i="6"/>
  <c r="L19" i="5"/>
  <c r="M3" i="6"/>
  <c r="K32" i="6"/>
  <c r="K3" i="6"/>
  <c r="M3" i="5"/>
  <c r="K32" i="5"/>
  <c r="L3" i="4"/>
  <c r="K3" i="4"/>
  <c r="M3" i="4"/>
  <c r="M14" i="4" s="1"/>
  <c r="L3" i="6"/>
  <c r="L3" i="5"/>
  <c r="L19" i="4"/>
  <c r="L3" i="3"/>
  <c r="L30" i="5" l="1"/>
  <c r="L32" i="5" s="1"/>
  <c r="L30" i="6"/>
  <c r="L32" i="6" s="1"/>
  <c r="L30" i="4"/>
  <c r="L32" i="4" s="1"/>
  <c r="K14" i="4"/>
  <c r="K16" i="4" s="1"/>
  <c r="K14" i="6"/>
  <c r="K16" i="6" s="1"/>
  <c r="L14" i="5"/>
  <c r="L16" i="5" s="1"/>
  <c r="L14" i="4"/>
  <c r="L16" i="4" s="1"/>
  <c r="K14" i="5"/>
  <c r="K16" i="5" s="1"/>
  <c r="M14" i="5"/>
  <c r="M16" i="5" s="1"/>
  <c r="L14" i="3"/>
  <c r="L16" i="3" s="1"/>
  <c r="L14" i="6"/>
  <c r="L16" i="6" s="1"/>
  <c r="M14" i="6"/>
  <c r="M16" i="6" s="1"/>
  <c r="M16" i="4"/>
  <c r="M3" i="3"/>
  <c r="K3" i="3"/>
  <c r="L19" i="3"/>
  <c r="L30" i="3" s="1"/>
  <c r="L32" i="3" s="1"/>
  <c r="S3" i="5" l="1"/>
  <c r="K14" i="3"/>
  <c r="K16" i="3" s="1"/>
  <c r="M14" i="3"/>
  <c r="M16" i="3" s="1"/>
  <c r="S3" i="6"/>
  <c r="S3" i="4"/>
  <c r="M3" i="2"/>
  <c r="K3" i="2"/>
  <c r="L3" i="2"/>
  <c r="L19" i="2"/>
  <c r="L30" i="2" l="1"/>
  <c r="L32" i="2" s="1"/>
  <c r="S3" i="3"/>
  <c r="L14" i="2"/>
  <c r="L16" i="2" s="1"/>
  <c r="M14" i="2"/>
  <c r="M16" i="2" s="1"/>
  <c r="K14" i="2"/>
  <c r="K16" i="2" s="1"/>
  <c r="M3" i="1"/>
  <c r="L3" i="1"/>
  <c r="K3" i="1"/>
  <c r="K32" i="1"/>
  <c r="L19" i="1"/>
  <c r="S3" i="2" l="1"/>
  <c r="L30" i="1"/>
  <c r="L32" i="1" s="1"/>
  <c r="K14" i="1"/>
  <c r="K16" i="1" s="1"/>
  <c r="L14" i="1"/>
  <c r="L16" i="1" s="1"/>
  <c r="M14" i="1"/>
  <c r="M16" i="1" s="1"/>
  <c r="S3" i="1" l="1"/>
</calcChain>
</file>

<file path=xl/sharedStrings.xml><?xml version="1.0" encoding="utf-8"?>
<sst xmlns="http://schemas.openxmlformats.org/spreadsheetml/2006/main" count="294" uniqueCount="164">
  <si>
    <t>游标卡尺</t>
    <phoneticPr fontId="1" type="noConversion"/>
  </si>
  <si>
    <t>k</t>
    <phoneticPr fontId="1" type="noConversion"/>
  </si>
  <si>
    <t>D(mm)</t>
    <phoneticPr fontId="1" type="noConversion"/>
  </si>
  <si>
    <t>d(mm)</t>
    <phoneticPr fontId="1" type="noConversion"/>
  </si>
  <si>
    <t>H(mm)</t>
    <phoneticPr fontId="1" type="noConversion"/>
  </si>
  <si>
    <t>AVE</t>
    <phoneticPr fontId="1" type="noConversion"/>
  </si>
  <si>
    <t>千分尺</t>
    <phoneticPr fontId="1" type="noConversion"/>
  </si>
  <si>
    <t>k</t>
    <phoneticPr fontId="1" type="noConversion"/>
  </si>
  <si>
    <t>AVE</t>
    <phoneticPr fontId="1" type="noConversion"/>
  </si>
  <si>
    <t>D1真实(mm)</t>
    <phoneticPr fontId="1" type="noConversion"/>
  </si>
  <si>
    <t>uB</t>
    <phoneticPr fontId="1" type="noConversion"/>
  </si>
  <si>
    <t>uA</t>
    <phoneticPr fontId="1" type="noConversion"/>
  </si>
  <si>
    <t>tp</t>
    <phoneticPr fontId="1" type="noConversion"/>
  </si>
  <si>
    <t>Δ仪</t>
    <phoneticPr fontId="1" type="noConversion"/>
  </si>
  <si>
    <t>与平均值差值平方uA</t>
    <phoneticPr fontId="1" type="noConversion"/>
  </si>
  <si>
    <t>uD</t>
    <phoneticPr fontId="1" type="noConversion"/>
  </si>
  <si>
    <t>ud</t>
    <phoneticPr fontId="1" type="noConversion"/>
  </si>
  <si>
    <t>uH</t>
    <phoneticPr fontId="1" type="noConversion"/>
  </si>
  <si>
    <t>uD1</t>
    <phoneticPr fontId="1" type="noConversion"/>
  </si>
  <si>
    <t>uD2</t>
    <phoneticPr fontId="1" type="noConversion"/>
  </si>
  <si>
    <t>D1粗(mm)</t>
    <phoneticPr fontId="1" type="noConversion"/>
  </si>
  <si>
    <t>D2细(mm)</t>
    <phoneticPr fontId="1" type="noConversion"/>
  </si>
  <si>
    <t>D2细(mm)</t>
    <phoneticPr fontId="1" type="noConversion"/>
  </si>
  <si>
    <t>游标卡尺</t>
    <phoneticPr fontId="1" type="noConversion"/>
  </si>
  <si>
    <t>k</t>
    <phoneticPr fontId="1" type="noConversion"/>
  </si>
  <si>
    <t>D(mm)</t>
    <phoneticPr fontId="1" type="noConversion"/>
  </si>
  <si>
    <t>d(mm)</t>
    <phoneticPr fontId="1" type="noConversion"/>
  </si>
  <si>
    <t>H(mm)</t>
    <phoneticPr fontId="1" type="noConversion"/>
  </si>
  <si>
    <t>Δ仪</t>
    <phoneticPr fontId="1" type="noConversion"/>
  </si>
  <si>
    <t>tp</t>
    <phoneticPr fontId="1" type="noConversion"/>
  </si>
  <si>
    <t>ud</t>
    <phoneticPr fontId="1" type="noConversion"/>
  </si>
  <si>
    <t>uH</t>
    <phoneticPr fontId="1" type="noConversion"/>
  </si>
  <si>
    <t>uH</t>
    <phoneticPr fontId="1" type="noConversion"/>
  </si>
  <si>
    <t>与平均值差值平方uA</t>
    <phoneticPr fontId="1" type="noConversion"/>
  </si>
  <si>
    <t>uA</t>
    <phoneticPr fontId="1" type="noConversion"/>
  </si>
  <si>
    <t>AVE</t>
    <phoneticPr fontId="1" type="noConversion"/>
  </si>
  <si>
    <t>AVE</t>
    <phoneticPr fontId="1" type="noConversion"/>
  </si>
  <si>
    <t>千分尺</t>
    <phoneticPr fontId="1" type="noConversion"/>
  </si>
  <si>
    <t>D1粗(mm)</t>
    <phoneticPr fontId="1" type="noConversion"/>
  </si>
  <si>
    <t>D2细(mm)</t>
    <phoneticPr fontId="1" type="noConversion"/>
  </si>
  <si>
    <t>D1真实(mm)</t>
    <phoneticPr fontId="1" type="noConversion"/>
  </si>
  <si>
    <t>uB</t>
    <phoneticPr fontId="1" type="noConversion"/>
  </si>
  <si>
    <t>uD1</t>
    <phoneticPr fontId="1" type="noConversion"/>
  </si>
  <si>
    <t>uD2</t>
    <phoneticPr fontId="1" type="noConversion"/>
  </si>
  <si>
    <t>k</t>
    <phoneticPr fontId="1" type="noConversion"/>
  </si>
  <si>
    <t>D(mm)</t>
    <phoneticPr fontId="1" type="noConversion"/>
  </si>
  <si>
    <t>d(mm)</t>
    <phoneticPr fontId="1" type="noConversion"/>
  </si>
  <si>
    <t>H(mm)</t>
    <phoneticPr fontId="1" type="noConversion"/>
  </si>
  <si>
    <t>ud</t>
    <phoneticPr fontId="1" type="noConversion"/>
  </si>
  <si>
    <t>uH</t>
    <phoneticPr fontId="1" type="noConversion"/>
  </si>
  <si>
    <t>uA</t>
    <phoneticPr fontId="1" type="noConversion"/>
  </si>
  <si>
    <t>AVE</t>
    <phoneticPr fontId="1" type="noConversion"/>
  </si>
  <si>
    <t>AVE</t>
    <phoneticPr fontId="1" type="noConversion"/>
  </si>
  <si>
    <t>千分尺</t>
    <phoneticPr fontId="1" type="noConversion"/>
  </si>
  <si>
    <t>D1(mm)</t>
    <phoneticPr fontId="1" type="noConversion"/>
  </si>
  <si>
    <t>D2(mm)</t>
    <phoneticPr fontId="1" type="noConversion"/>
  </si>
  <si>
    <t>D1真实(mm)</t>
    <phoneticPr fontId="1" type="noConversion"/>
  </si>
  <si>
    <t>Δ仪</t>
    <phoneticPr fontId="1" type="noConversion"/>
  </si>
  <si>
    <t>uB</t>
    <phoneticPr fontId="1" type="noConversion"/>
  </si>
  <si>
    <t>tp</t>
    <phoneticPr fontId="1" type="noConversion"/>
  </si>
  <si>
    <t>uD1</t>
    <phoneticPr fontId="1" type="noConversion"/>
  </si>
  <si>
    <t>uD2</t>
    <phoneticPr fontId="1" type="noConversion"/>
  </si>
  <si>
    <t>游标卡尺</t>
  </si>
  <si>
    <t>k</t>
  </si>
  <si>
    <t>D(mm)</t>
  </si>
  <si>
    <t>d(mm)</t>
  </si>
  <si>
    <t>H(mm)</t>
  </si>
  <si>
    <t>Δ仪</t>
  </si>
  <si>
    <t>uB</t>
  </si>
  <si>
    <t>tp</t>
  </si>
  <si>
    <t>ud</t>
  </si>
  <si>
    <t>uH</t>
  </si>
  <si>
    <t>与平均值差值平方uA</t>
  </si>
  <si>
    <t>uA</t>
  </si>
  <si>
    <t>AVE</t>
  </si>
  <si>
    <t>千分尺</t>
  </si>
  <si>
    <t>D1粗(mm)</t>
  </si>
  <si>
    <t>D2细(mm)</t>
  </si>
  <si>
    <t>D1真实(mm)</t>
  </si>
  <si>
    <t>uD1</t>
  </si>
  <si>
    <t>uD2</t>
  </si>
  <si>
    <t>误差值(mm)</t>
    <phoneticPr fontId="1" type="noConversion"/>
  </si>
  <si>
    <t>误差值(mm)</t>
    <phoneticPr fontId="1" type="noConversion"/>
  </si>
  <si>
    <t>误差值(mm)</t>
    <phoneticPr fontId="1" type="noConversion"/>
  </si>
  <si>
    <t>D2真实(mm)</t>
    <phoneticPr fontId="1" type="noConversion"/>
  </si>
  <si>
    <t>D2真实(mm)</t>
    <phoneticPr fontId="1" type="noConversion"/>
  </si>
  <si>
    <t>D2真实(mm)</t>
    <phoneticPr fontId="1" type="noConversion"/>
  </si>
  <si>
    <t>D2真实(mm)</t>
    <phoneticPr fontId="1" type="noConversion"/>
  </si>
  <si>
    <t>取近似值</t>
    <phoneticPr fontId="1" type="noConversion"/>
  </si>
  <si>
    <t>取近似值</t>
    <phoneticPr fontId="1" type="noConversion"/>
  </si>
  <si>
    <t>取近似值</t>
    <phoneticPr fontId="1" type="noConversion"/>
  </si>
  <si>
    <t>取近似值</t>
    <phoneticPr fontId="1" type="noConversion"/>
  </si>
  <si>
    <t>取近似值</t>
    <phoneticPr fontId="1" type="noConversion"/>
  </si>
  <si>
    <t>Δ仪</t>
    <phoneticPr fontId="1" type="noConversion"/>
  </si>
  <si>
    <t>ΔB</t>
  </si>
  <si>
    <t>ΔB</t>
    <phoneticPr fontId="1" type="noConversion"/>
  </si>
  <si>
    <t>ΔB</t>
    <phoneticPr fontId="1" type="noConversion"/>
  </si>
  <si>
    <t>ΔB</t>
    <phoneticPr fontId="1" type="noConversion"/>
  </si>
  <si>
    <t>ΔB</t>
    <phoneticPr fontId="1" type="noConversion"/>
  </si>
  <si>
    <t>tp</t>
    <phoneticPr fontId="1" type="noConversion"/>
  </si>
  <si>
    <t>tp</t>
    <phoneticPr fontId="1" type="noConversion"/>
  </si>
  <si>
    <t>tp</t>
    <phoneticPr fontId="1" type="noConversion"/>
  </si>
  <si>
    <t>uD</t>
    <phoneticPr fontId="1" type="noConversion"/>
  </si>
  <si>
    <t>ΔD</t>
  </si>
  <si>
    <t>ΔD</t>
    <phoneticPr fontId="1" type="noConversion"/>
  </si>
  <si>
    <t>ΔD</t>
    <phoneticPr fontId="1" type="noConversion"/>
  </si>
  <si>
    <t>ΔD</t>
    <phoneticPr fontId="1" type="noConversion"/>
  </si>
  <si>
    <t>Δd</t>
  </si>
  <si>
    <t>Δd</t>
    <phoneticPr fontId="1" type="noConversion"/>
  </si>
  <si>
    <t>Δd</t>
    <phoneticPr fontId="1" type="noConversion"/>
  </si>
  <si>
    <t>Δd</t>
    <phoneticPr fontId="1" type="noConversion"/>
  </si>
  <si>
    <t>ΔH</t>
  </si>
  <si>
    <t>ΔA</t>
  </si>
  <si>
    <t>ΔD1</t>
  </si>
  <si>
    <t>ΔD2</t>
  </si>
  <si>
    <t>与平均值差值平方ΔA</t>
  </si>
  <si>
    <t>ΔV</t>
    <phoneticPr fontId="1" type="noConversion"/>
  </si>
  <si>
    <t>ΔV</t>
    <phoneticPr fontId="1" type="noConversion"/>
  </si>
  <si>
    <t>ΔV</t>
    <phoneticPr fontId="1" type="noConversion"/>
  </si>
  <si>
    <t>V(mm^3)</t>
    <phoneticPr fontId="1" type="noConversion"/>
  </si>
  <si>
    <t>V(mm^3)</t>
    <phoneticPr fontId="1" type="noConversion"/>
  </si>
  <si>
    <t>V(mm^3)</t>
    <phoneticPr fontId="1" type="noConversion"/>
  </si>
  <si>
    <t>最终值</t>
    <phoneticPr fontId="1" type="noConversion"/>
  </si>
  <si>
    <t>最终值</t>
    <phoneticPr fontId="1" type="noConversion"/>
  </si>
  <si>
    <t>最终值</t>
    <phoneticPr fontId="1" type="noConversion"/>
  </si>
  <si>
    <t>最终值</t>
    <phoneticPr fontId="1" type="noConversion"/>
  </si>
  <si>
    <t>中间值</t>
    <phoneticPr fontId="1" type="noConversion"/>
  </si>
  <si>
    <t>中间值</t>
    <phoneticPr fontId="1" type="noConversion"/>
  </si>
  <si>
    <t>中间值</t>
    <phoneticPr fontId="1" type="noConversion"/>
  </si>
  <si>
    <t>P</t>
    <phoneticPr fontId="1" type="noConversion"/>
  </si>
  <si>
    <t>P</t>
    <phoneticPr fontId="1" type="noConversion"/>
  </si>
  <si>
    <t>P</t>
    <phoneticPr fontId="1" type="noConversion"/>
  </si>
  <si>
    <t>P</t>
    <phoneticPr fontId="1" type="noConversion"/>
  </si>
  <si>
    <t>P</t>
    <phoneticPr fontId="1" type="noConversion"/>
  </si>
  <si>
    <t>P</t>
    <phoneticPr fontId="1" type="noConversion"/>
  </si>
  <si>
    <t>ΔA</t>
    <phoneticPr fontId="1" type="noConversion"/>
  </si>
  <si>
    <t>ΔA</t>
    <phoneticPr fontId="1" type="noConversion"/>
  </si>
  <si>
    <t>ΔA</t>
    <phoneticPr fontId="1" type="noConversion"/>
  </si>
  <si>
    <t>ΔA</t>
    <phoneticPr fontId="1" type="noConversion"/>
  </si>
  <si>
    <t>ΔD/D</t>
    <phoneticPr fontId="1" type="noConversion"/>
  </si>
  <si>
    <t>ΔD/D</t>
    <phoneticPr fontId="1" type="noConversion"/>
  </si>
  <si>
    <t>ΔD/D</t>
    <phoneticPr fontId="1" type="noConversion"/>
  </si>
  <si>
    <t>ΔD/D</t>
    <phoneticPr fontId="1" type="noConversion"/>
  </si>
  <si>
    <t>Δd/d</t>
    <phoneticPr fontId="1" type="noConversion"/>
  </si>
  <si>
    <t>Δd/d</t>
    <phoneticPr fontId="1" type="noConversion"/>
  </si>
  <si>
    <t>Δd/d</t>
    <phoneticPr fontId="1" type="noConversion"/>
  </si>
  <si>
    <t>Δd/d</t>
    <phoneticPr fontId="1" type="noConversion"/>
  </si>
  <si>
    <t>Δd/d</t>
    <phoneticPr fontId="1" type="noConversion"/>
  </si>
  <si>
    <t>ΔH/H</t>
    <phoneticPr fontId="1" type="noConversion"/>
  </si>
  <si>
    <t>ΔH/H</t>
    <phoneticPr fontId="1" type="noConversion"/>
  </si>
  <si>
    <t>ΔH/H</t>
    <phoneticPr fontId="1" type="noConversion"/>
  </si>
  <si>
    <t>ΔH/H</t>
    <phoneticPr fontId="1" type="noConversion"/>
  </si>
  <si>
    <t>ΔH/H</t>
    <phoneticPr fontId="1" type="noConversion"/>
  </si>
  <si>
    <t>ΔD1/D1</t>
    <phoneticPr fontId="1" type="noConversion"/>
  </si>
  <si>
    <t>ΔD1/D1</t>
    <phoneticPr fontId="1" type="noConversion"/>
  </si>
  <si>
    <t>ΔD2/D2</t>
    <phoneticPr fontId="1" type="noConversion"/>
  </si>
  <si>
    <t>ΔD2/D2</t>
    <phoneticPr fontId="1" type="noConversion"/>
  </si>
  <si>
    <t>ΔD2/D2</t>
    <phoneticPr fontId="1" type="noConversion"/>
  </si>
  <si>
    <t>ΔD2/D2</t>
    <phoneticPr fontId="1" type="noConversion"/>
  </si>
  <si>
    <t>←此值自己对齐左端有效数字位取近似值（进一法）</t>
    <phoneticPr fontId="1" type="noConversion"/>
  </si>
  <si>
    <t>←此值自己对齐左端有效数字位取近似值（进一法）</t>
    <phoneticPr fontId="1" type="noConversion"/>
  </si>
  <si>
    <t>←此值自己对齐左端有效数字位取近似值（进一法）</t>
    <phoneticPr fontId="1" type="noConversion"/>
  </si>
  <si>
    <t>取近似值</t>
  </si>
  <si>
    <t>ΔD1/D1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</si>
</sst>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76" formatCode="0.000_ "/>
    <numFmt numFmtId="177" formatCode="0.000000_ "/>
    <numFmt numFmtId="178" formatCode="0.000000_);[Red]\(0.000000\)"/>
    <numFmt numFmtId="179" formatCode="0.0000000000_ "/>
    <numFmt numFmtId="180" formatCode="0.00_ "/>
    <numFmt numFmtId="181" formatCode="0.000E+00"/>
    <numFmt numFmtId="182" formatCode="0.0000_ "/>
    <numFmt numFmtId="183" formatCode="0.00_);[Red]\(0.00\)"/>
  </numFmts>
  <fonts count="2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</fonts>
  <fills count="8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399975585192419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1">
    <xf numFmtId="0" fontId="0" fillId="0" borderId="0" xfId="0"/>
    <xf numFmtId="0" fontId="0" fillId="0" borderId="0" xfId="0" applyBorder="1"/>
    <xf numFmtId="178" fontId="0" fillId="2" borderId="0" xfId="0" applyNumberFormat="1" applyFill="1" applyBorder="1"/>
    <xf numFmtId="178" fontId="0" fillId="0" borderId="0" xfId="0" applyNumberFormat="1" applyBorder="1"/>
    <xf numFmtId="176" fontId="0" fillId="0" borderId="0" xfId="0" applyNumberFormat="1" applyBorder="1"/>
    <xf numFmtId="177" fontId="0" fillId="0" borderId="0" xfId="0" applyNumberFormat="1" applyBorder="1"/>
    <xf numFmtId="179" fontId="0" fillId="2" borderId="0" xfId="0" applyNumberFormat="1" applyFill="1" applyBorder="1"/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Fill="1" applyBorder="1"/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77" fontId="0" fillId="0" borderId="0" xfId="0" applyNumberFormat="1" applyFill="1" applyBorder="1"/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horizontal="center"/>
    </xf>
    <xf numFmtId="0" fontId="0" fillId="5" borderId="0" xfId="0" applyFill="1" applyBorder="1"/>
    <xf numFmtId="177" fontId="0" fillId="5" borderId="0" xfId="0" applyNumberFormat="1" applyFill="1" applyBorder="1"/>
    <xf numFmtId="180" fontId="0" fillId="3" borderId="0" xfId="0" applyNumberFormat="1" applyFill="1" applyBorder="1"/>
    <xf numFmtId="180" fontId="0" fillId="0" borderId="0" xfId="0" applyNumberFormat="1" applyBorder="1"/>
    <xf numFmtId="180" fontId="0" fillId="5" borderId="0" xfId="0" applyNumberFormat="1" applyFill="1" applyBorder="1"/>
    <xf numFmtId="180" fontId="0" fillId="4" borderId="0" xfId="0" applyNumberFormat="1" applyFill="1" applyBorder="1"/>
    <xf numFmtId="181" fontId="0" fillId="5" borderId="0" xfId="0" applyNumberFormat="1" applyFill="1" applyBorder="1"/>
    <xf numFmtId="176" fontId="0" fillId="3" borderId="0" xfId="0" applyNumberFormat="1" applyFill="1" applyBorder="1"/>
    <xf numFmtId="176" fontId="0" fillId="0" borderId="0" xfId="0" applyNumberFormat="1" applyFill="1" applyBorder="1"/>
    <xf numFmtId="176" fontId="0" fillId="5" borderId="0" xfId="0" applyNumberFormat="1" applyFill="1" applyBorder="1"/>
    <xf numFmtId="176" fontId="0" fillId="4" borderId="0" xfId="0" applyNumberFormat="1" applyFill="1" applyBorder="1"/>
    <xf numFmtId="182" fontId="0" fillId="0" borderId="0" xfId="0" applyNumberFormat="1" applyBorder="1"/>
    <xf numFmtId="183" fontId="0" fillId="5" borderId="0" xfId="0" applyNumberFormat="1" applyFill="1" applyBorder="1"/>
    <xf numFmtId="178" fontId="0" fillId="6" borderId="0" xfId="0" applyNumberFormat="1" applyFill="1" applyBorder="1"/>
    <xf numFmtId="0" fontId="0" fillId="0" borderId="0" xfId="0" applyBorder="1" applyAlignment="1">
      <alignment horizontal="center" vertical="center"/>
    </xf>
    <xf numFmtId="182" fontId="0" fillId="5" borderId="0" xfId="0" applyNumberFormat="1" applyFill="1" applyBorder="1"/>
    <xf numFmtId="0" fontId="0" fillId="7" borderId="0" xfId="0" applyFill="1" applyBorder="1"/>
    <xf numFmtId="0" fontId="0" fillId="5" borderId="0" xfId="0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6" borderId="0" xfId="0" applyFill="1" applyBorder="1" applyAlignment="1">
      <alignment horizontal="center"/>
    </xf>
    <xf numFmtId="178" fontId="0" fillId="2" borderId="0" xfId="0" applyNumberForma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78" fontId="0" fillId="0" borderId="0" xfId="0" applyNumberFormat="1" applyBorder="1" applyAlignment="1">
      <alignment horizontal="center" vertical="center"/>
    </xf>
    <xf numFmtId="176" fontId="0" fillId="3" borderId="0" xfId="0" applyNumberFormat="1" applyFill="1" applyBorder="1" applyAlignment="1">
      <alignment horizontal="center" vertical="center"/>
    </xf>
    <xf numFmtId="176" fontId="0" fillId="4" borderId="0" xfId="0" applyNumberFormat="1" applyFill="1" applyBorder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T32"/>
  <sheetViews>
    <sheetView zoomScale="70" zoomScaleNormal="70" workbookViewId="0">
      <selection activeCell="S19" sqref="S19"/>
    </sheetView>
  </sheetViews>
  <sheetFormatPr defaultRowHeight="13.9" x14ac:dyDescent="0.4"/>
  <cols>
    <col min="1" max="1" width="9.06640625" style="1" bestFit="1" customWidth="1"/>
    <col min="2" max="3" width="10.265625" style="1" bestFit="1" customWidth="1"/>
    <col min="4" max="5" width="12.46484375" style="1" bestFit="1" customWidth="1"/>
    <col min="6" max="6" width="12" style="1" bestFit="1" customWidth="1"/>
    <col min="7" max="7" width="9.06640625" style="1"/>
    <col min="8" max="9" width="9.33203125" style="1" bestFit="1" customWidth="1"/>
    <col min="10" max="12" width="9.6640625" style="1" bestFit="1" customWidth="1"/>
    <col min="13" max="13" width="13" style="1" bestFit="1" customWidth="1"/>
    <col min="14" max="15" width="14.1328125" style="1" bestFit="1" customWidth="1"/>
    <col min="16" max="16" width="9.6640625" style="5" bestFit="1" customWidth="1"/>
    <col min="17" max="17" width="9.33203125" style="1" bestFit="1" customWidth="1"/>
    <col min="18" max="18" width="12.59765625" style="1" bestFit="1" customWidth="1"/>
    <col min="19" max="19" width="13" style="1" bestFit="1" customWidth="1"/>
    <col min="20" max="20" width="50.265625" style="1" bestFit="1" customWidth="1"/>
    <col min="21" max="16384" width="9.06640625" style="1"/>
  </cols>
  <sheetData>
    <row r="1" spans="1:20" x14ac:dyDescent="0.4">
      <c r="A1" s="34" t="s">
        <v>0</v>
      </c>
      <c r="B1" s="34"/>
      <c r="C1" s="34"/>
      <c r="D1" s="34"/>
      <c r="E1" s="15"/>
    </row>
    <row r="2" spans="1:20" x14ac:dyDescent="0.4">
      <c r="A2" s="1" t="s">
        <v>1</v>
      </c>
      <c r="B2" s="1" t="s">
        <v>2</v>
      </c>
      <c r="C2" s="1" t="s">
        <v>3</v>
      </c>
      <c r="D2" s="1" t="s">
        <v>4</v>
      </c>
      <c r="H2" s="1" t="s">
        <v>13</v>
      </c>
      <c r="I2" s="1" t="s">
        <v>95</v>
      </c>
      <c r="J2" s="1" t="s">
        <v>99</v>
      </c>
      <c r="K2" s="1" t="s">
        <v>103</v>
      </c>
      <c r="L2" s="1" t="s">
        <v>107</v>
      </c>
      <c r="M2" s="1" t="s">
        <v>111</v>
      </c>
      <c r="N2" s="37" t="s">
        <v>115</v>
      </c>
      <c r="O2" s="37"/>
      <c r="P2" s="37"/>
      <c r="R2" s="1" t="s">
        <v>119</v>
      </c>
      <c r="S2" s="1" t="s">
        <v>116</v>
      </c>
    </row>
    <row r="3" spans="1:20" x14ac:dyDescent="0.4">
      <c r="A3" s="1">
        <v>1</v>
      </c>
      <c r="B3" s="18">
        <v>26</v>
      </c>
      <c r="C3" s="18">
        <v>21.6</v>
      </c>
      <c r="D3" s="18">
        <v>49.92</v>
      </c>
      <c r="E3" s="12"/>
      <c r="H3" s="38">
        <v>0.02</v>
      </c>
      <c r="I3" s="38">
        <f>$H$3/SQRT(3)</f>
        <v>1.1547005383792516E-2</v>
      </c>
      <c r="J3" s="38">
        <v>1.06</v>
      </c>
      <c r="K3" s="36">
        <f>SQRT(($J$3*N14)^2+$I$3^2)</f>
        <v>1.1547005383792516E-2</v>
      </c>
      <c r="L3" s="36">
        <f>SQRT(($J$3*O14)^2+$I$3^2)</f>
        <v>3.7738904182406878E-2</v>
      </c>
      <c r="M3" s="36">
        <f>SQRT(($J$3*P14)^2+$I$3^2)</f>
        <v>1.7193926576297577E-2</v>
      </c>
      <c r="N3" s="2">
        <f>(B3-B$15)^2</f>
        <v>0</v>
      </c>
      <c r="O3" s="2">
        <f t="shared" ref="O3:O12" si="0">(C3-C$15)^2</f>
        <v>1.6899999999999742E-2</v>
      </c>
      <c r="P3" s="2">
        <f t="shared" ref="P3:P12" si="1">(D3-D$15)^2</f>
        <v>1.0000000000010231E-4</v>
      </c>
      <c r="R3" s="1">
        <f>(PI()/4)*$D$15*($B$15^2-$C$15^2)</f>
        <v>7989.0798263855404</v>
      </c>
      <c r="S3" s="1">
        <f>SQRT((($B$15^2-$C$15^2)^2)*$M$14^2+((2*$D$15*$B$15)^2)*$K$14^2+((-2*$D$15*$C$15)^2)*$L$14^2)</f>
        <v>101.18696488186657</v>
      </c>
    </row>
    <row r="4" spans="1:20" x14ac:dyDescent="0.4">
      <c r="A4" s="1">
        <v>2</v>
      </c>
      <c r="B4" s="18">
        <v>26</v>
      </c>
      <c r="C4" s="18">
        <v>21.8</v>
      </c>
      <c r="D4" s="18">
        <v>49.82</v>
      </c>
      <c r="E4" s="12"/>
      <c r="H4" s="38"/>
      <c r="I4" s="38"/>
      <c r="J4" s="38"/>
      <c r="K4" s="36"/>
      <c r="L4" s="36"/>
      <c r="M4" s="36"/>
      <c r="N4" s="2">
        <f t="shared" ref="N4:N12" si="2">(B4-B$15)^2</f>
        <v>0</v>
      </c>
      <c r="O4" s="2">
        <f t="shared" si="0"/>
        <v>4.9000000000000397E-3</v>
      </c>
      <c r="P4" s="2">
        <f t="shared" si="1"/>
        <v>8.0999999999993352E-3</v>
      </c>
      <c r="R4" s="34" t="s">
        <v>126</v>
      </c>
      <c r="S4" s="34"/>
    </row>
    <row r="5" spans="1:20" x14ac:dyDescent="0.4">
      <c r="A5" s="1">
        <v>3</v>
      </c>
      <c r="B5" s="18">
        <v>26</v>
      </c>
      <c r="C5" s="18">
        <v>21.78</v>
      </c>
      <c r="D5" s="18">
        <v>49.9</v>
      </c>
      <c r="E5" s="12"/>
      <c r="H5" s="38"/>
      <c r="I5" s="38"/>
      <c r="J5" s="38"/>
      <c r="K5" s="36"/>
      <c r="L5" s="36"/>
      <c r="M5" s="36"/>
      <c r="N5" s="2">
        <f t="shared" si="2"/>
        <v>0</v>
      </c>
      <c r="O5" s="2">
        <f t="shared" si="0"/>
        <v>2.5000000000000712E-3</v>
      </c>
      <c r="P5" s="2">
        <f t="shared" si="1"/>
        <v>9.9999999999960215E-5</v>
      </c>
      <c r="R5" s="1">
        <f>TranValue(R3,2)</f>
        <v>7989.08</v>
      </c>
      <c r="S5" s="1">
        <v>101.18696488186657</v>
      </c>
    </row>
    <row r="6" spans="1:20" x14ac:dyDescent="0.4">
      <c r="A6" s="1">
        <v>4</v>
      </c>
      <c r="B6" s="18">
        <v>26</v>
      </c>
      <c r="C6" s="18">
        <v>21.58</v>
      </c>
      <c r="D6" s="18">
        <v>49.94</v>
      </c>
      <c r="E6" s="12"/>
      <c r="H6" s="38"/>
      <c r="I6" s="38"/>
      <c r="J6" s="38"/>
      <c r="K6" s="36"/>
      <c r="L6" s="36"/>
      <c r="M6" s="36"/>
      <c r="N6" s="2">
        <f t="shared" si="2"/>
        <v>0</v>
      </c>
      <c r="O6" s="2">
        <f t="shared" si="0"/>
        <v>2.2500000000000641E-2</v>
      </c>
      <c r="P6" s="2">
        <f t="shared" si="1"/>
        <v>9.0000000000006817E-4</v>
      </c>
      <c r="R6" s="33" t="s">
        <v>122</v>
      </c>
      <c r="S6" s="33"/>
    </row>
    <row r="7" spans="1:20" x14ac:dyDescent="0.4">
      <c r="A7" s="1">
        <v>5</v>
      </c>
      <c r="B7" s="18">
        <v>26</v>
      </c>
      <c r="C7" s="18">
        <v>21.64</v>
      </c>
      <c r="D7" s="18">
        <v>49.9</v>
      </c>
      <c r="E7" s="12"/>
      <c r="H7" s="38"/>
      <c r="I7" s="38"/>
      <c r="J7" s="38"/>
      <c r="K7" s="36"/>
      <c r="L7" s="36"/>
      <c r="M7" s="36"/>
      <c r="N7" s="2">
        <f t="shared" si="2"/>
        <v>0</v>
      </c>
      <c r="O7" s="2">
        <f t="shared" si="0"/>
        <v>8.0999999999999753E-3</v>
      </c>
      <c r="P7" s="2">
        <f t="shared" si="1"/>
        <v>9.9999999999960215E-5</v>
      </c>
      <c r="R7" s="22">
        <f>TranValue(R5,2)</f>
        <v>7989.08</v>
      </c>
      <c r="S7" s="16">
        <v>101.18696488186657</v>
      </c>
      <c r="T7" s="16" t="s">
        <v>160</v>
      </c>
    </row>
    <row r="8" spans="1:20" x14ac:dyDescent="0.4">
      <c r="A8" s="1">
        <v>6</v>
      </c>
      <c r="B8" s="18">
        <v>26</v>
      </c>
      <c r="C8" s="18">
        <v>21.8</v>
      </c>
      <c r="D8" s="18">
        <v>49.9</v>
      </c>
      <c r="E8" s="12"/>
      <c r="H8" s="38"/>
      <c r="I8" s="38"/>
      <c r="J8" s="38"/>
      <c r="K8" s="36"/>
      <c r="L8" s="36"/>
      <c r="M8" s="36"/>
      <c r="N8" s="2">
        <f t="shared" si="2"/>
        <v>0</v>
      </c>
      <c r="O8" s="2">
        <f t="shared" si="0"/>
        <v>4.9000000000000397E-3</v>
      </c>
      <c r="P8" s="2">
        <f t="shared" si="1"/>
        <v>9.9999999999960215E-5</v>
      </c>
    </row>
    <row r="9" spans="1:20" x14ac:dyDescent="0.4">
      <c r="A9" s="1">
        <v>7</v>
      </c>
      <c r="B9" s="18">
        <v>26</v>
      </c>
      <c r="C9" s="18">
        <v>21.9</v>
      </c>
      <c r="D9" s="18">
        <v>49.94</v>
      </c>
      <c r="E9" s="12"/>
      <c r="H9" s="38"/>
      <c r="I9" s="38"/>
      <c r="J9" s="38"/>
      <c r="K9" s="36"/>
      <c r="L9" s="36"/>
      <c r="M9" s="36"/>
      <c r="N9" s="2">
        <f t="shared" si="2"/>
        <v>0</v>
      </c>
      <c r="O9" s="2">
        <f t="shared" si="0"/>
        <v>2.8899999999999371E-2</v>
      </c>
      <c r="P9" s="2">
        <f t="shared" si="1"/>
        <v>9.0000000000006817E-4</v>
      </c>
      <c r="R9" s="33" t="s">
        <v>129</v>
      </c>
      <c r="S9" s="33"/>
    </row>
    <row r="10" spans="1:20" x14ac:dyDescent="0.4">
      <c r="A10" s="1">
        <v>8</v>
      </c>
      <c r="B10" s="18">
        <v>26</v>
      </c>
      <c r="C10" s="18">
        <v>21.72</v>
      </c>
      <c r="D10" s="18">
        <v>49.92</v>
      </c>
      <c r="E10" s="12"/>
      <c r="H10" s="38"/>
      <c r="I10" s="38"/>
      <c r="J10" s="38"/>
      <c r="K10" s="36"/>
      <c r="L10" s="36"/>
      <c r="M10" s="36"/>
      <c r="N10" s="2">
        <f t="shared" si="2"/>
        <v>0</v>
      </c>
      <c r="O10" s="2">
        <f t="shared" si="0"/>
        <v>1.0000000000003127E-4</v>
      </c>
      <c r="P10" s="2">
        <f t="shared" si="1"/>
        <v>1.0000000000010231E-4</v>
      </c>
      <c r="R10" s="33">
        <v>0.68300000000000005</v>
      </c>
      <c r="S10" s="33"/>
    </row>
    <row r="11" spans="1:20" x14ac:dyDescent="0.4">
      <c r="A11" s="1">
        <v>9</v>
      </c>
      <c r="B11" s="18">
        <v>26</v>
      </c>
      <c r="C11" s="18">
        <v>21.68</v>
      </c>
      <c r="D11" s="18">
        <v>49.96</v>
      </c>
      <c r="E11" s="12"/>
      <c r="H11" s="38"/>
      <c r="I11" s="38"/>
      <c r="J11" s="38"/>
      <c r="K11" s="36"/>
      <c r="L11" s="36"/>
      <c r="M11" s="36"/>
      <c r="N11" s="2">
        <f t="shared" si="2"/>
        <v>0</v>
      </c>
      <c r="O11" s="2">
        <f t="shared" si="0"/>
        <v>2.5000000000000712E-3</v>
      </c>
      <c r="P11" s="2">
        <f t="shared" si="1"/>
        <v>2.5000000000004264E-3</v>
      </c>
    </row>
    <row r="12" spans="1:20" x14ac:dyDescent="0.4">
      <c r="A12" s="1">
        <v>10</v>
      </c>
      <c r="B12" s="18">
        <v>26</v>
      </c>
      <c r="C12" s="18">
        <v>21.84</v>
      </c>
      <c r="D12" s="18">
        <v>49.92</v>
      </c>
      <c r="E12" s="12"/>
      <c r="H12" s="38"/>
      <c r="I12" s="38"/>
      <c r="J12" s="38"/>
      <c r="K12" s="36"/>
      <c r="L12" s="36"/>
      <c r="M12" s="36"/>
      <c r="N12" s="2">
        <f t="shared" si="2"/>
        <v>0</v>
      </c>
      <c r="O12" s="2">
        <f t="shared" si="0"/>
        <v>1.2099999999999875E-2</v>
      </c>
      <c r="P12" s="2">
        <f t="shared" si="1"/>
        <v>1.0000000000010231E-4</v>
      </c>
      <c r="S12" s="27">
        <f>$S$7/$R$7</f>
        <v>1.2665659235089218E-2</v>
      </c>
    </row>
    <row r="13" spans="1:20" x14ac:dyDescent="0.4">
      <c r="A13" s="1" t="s">
        <v>5</v>
      </c>
      <c r="B13" s="19">
        <f>AVERAGE(B3:B12)</f>
        <v>26</v>
      </c>
      <c r="C13" s="19">
        <f>AVERAGE(C3:C12)</f>
        <v>21.734000000000002</v>
      </c>
      <c r="D13" s="19">
        <f>AVERAGE(D3:D12)</f>
        <v>49.911999999999999</v>
      </c>
      <c r="E13" s="5"/>
      <c r="H13" s="3"/>
      <c r="I13" s="3"/>
      <c r="J13" s="3"/>
      <c r="K13" s="16" t="s">
        <v>104</v>
      </c>
      <c r="L13" s="16" t="s">
        <v>108</v>
      </c>
      <c r="M13" s="16" t="s">
        <v>111</v>
      </c>
      <c r="N13" s="35" t="s">
        <v>135</v>
      </c>
      <c r="O13" s="35"/>
      <c r="P13" s="35"/>
    </row>
    <row r="14" spans="1:20" x14ac:dyDescent="0.4">
      <c r="E14" s="5"/>
      <c r="I14" s="9"/>
      <c r="K14" s="28">
        <f>ROUNDUP(K3,2)</f>
        <v>0.02</v>
      </c>
      <c r="L14" s="28">
        <f t="shared" ref="L14:M14" si="3">ROUNDUP(L3,2)</f>
        <v>0.04</v>
      </c>
      <c r="M14" s="28">
        <f t="shared" si="3"/>
        <v>0.02</v>
      </c>
      <c r="N14" s="29">
        <f>SQRT(SUM(N3:N12)/($A$12*$A$11))</f>
        <v>0</v>
      </c>
      <c r="O14" s="29">
        <f t="shared" ref="O14:P14" si="4">SQRT(SUM(O3:O12)/($A$12*$A$11))</f>
        <v>3.389526351702974E-2</v>
      </c>
      <c r="P14" s="29">
        <f t="shared" si="4"/>
        <v>1.2018504251546668E-2</v>
      </c>
    </row>
    <row r="15" spans="1:20" x14ac:dyDescent="0.4">
      <c r="A15" s="16" t="s">
        <v>88</v>
      </c>
      <c r="B15" s="20">
        <f>TranValue(B13,2)</f>
        <v>26</v>
      </c>
      <c r="C15" s="20">
        <f>TranValue(C13,2)</f>
        <v>21.73</v>
      </c>
      <c r="D15" s="20">
        <f>TranValue(D13,2)</f>
        <v>49.91</v>
      </c>
      <c r="E15" s="5"/>
      <c r="F15" s="5"/>
      <c r="G15" s="5"/>
      <c r="H15" s="5"/>
      <c r="I15" s="5"/>
      <c r="K15" s="16" t="s">
        <v>139</v>
      </c>
      <c r="L15" s="16" t="s">
        <v>143</v>
      </c>
      <c r="M15" s="16" t="s">
        <v>148</v>
      </c>
    </row>
    <row r="16" spans="1:20" x14ac:dyDescent="0.4">
      <c r="K16" s="31">
        <f>K$14/B$15</f>
        <v>7.6923076923076923E-4</v>
      </c>
      <c r="L16" s="31">
        <f t="shared" ref="L16:M16" si="5">L$14/C$15</f>
        <v>1.8407731247123793E-3</v>
      </c>
      <c r="M16" s="31">
        <f t="shared" si="5"/>
        <v>4.0072129833700667E-4</v>
      </c>
    </row>
    <row r="17" spans="1:15" x14ac:dyDescent="0.4">
      <c r="A17" s="34" t="s">
        <v>6</v>
      </c>
      <c r="B17" s="34"/>
      <c r="C17" s="34"/>
      <c r="D17" s="34"/>
      <c r="E17" s="34"/>
      <c r="F17" s="34"/>
    </row>
    <row r="18" spans="1:15" x14ac:dyDescent="0.4">
      <c r="A18" s="1" t="s">
        <v>7</v>
      </c>
      <c r="B18" s="1" t="s">
        <v>20</v>
      </c>
      <c r="C18" s="1" t="s">
        <v>21</v>
      </c>
      <c r="D18" s="1" t="s">
        <v>9</v>
      </c>
      <c r="E18" s="1" t="s">
        <v>84</v>
      </c>
      <c r="F18" s="1" t="s">
        <v>81</v>
      </c>
      <c r="H18" s="1" t="s">
        <v>13</v>
      </c>
      <c r="I18" s="1" t="s">
        <v>94</v>
      </c>
      <c r="J18" s="1" t="s">
        <v>12</v>
      </c>
      <c r="K18" s="1" t="s">
        <v>113</v>
      </c>
      <c r="L18" s="1" t="s">
        <v>114</v>
      </c>
      <c r="N18" s="37" t="s">
        <v>115</v>
      </c>
      <c r="O18" s="37"/>
    </row>
    <row r="19" spans="1:15" x14ac:dyDescent="0.4">
      <c r="A19" s="1">
        <v>1</v>
      </c>
      <c r="B19" s="23">
        <v>2.4079999999999999</v>
      </c>
      <c r="C19" s="23">
        <v>0.18</v>
      </c>
      <c r="D19" s="24">
        <f>B19-$F$19</f>
        <v>2.4179999999999997</v>
      </c>
      <c r="E19" s="24">
        <f>C19-$F$19</f>
        <v>0.19</v>
      </c>
      <c r="F19" s="39">
        <v>-0.01</v>
      </c>
      <c r="H19" s="38">
        <v>4.0000000000000001E-3</v>
      </c>
      <c r="I19" s="38">
        <f>$H$19/SQRT(3)</f>
        <v>2.3094010767585032E-3</v>
      </c>
      <c r="J19" s="38">
        <v>1.06</v>
      </c>
      <c r="K19" s="36">
        <f>SQRT(($J$19*N30)^2+$I$19^2)</f>
        <v>3.5495464499003355E-3</v>
      </c>
      <c r="L19" s="36">
        <f>SQRT(($J$19*O30)^2+$I$19^2)</f>
        <v>2.896898724881873E-3</v>
      </c>
      <c r="N19" s="6">
        <f>(D19-D$31)^2</f>
        <v>9.9999999999977973E-7</v>
      </c>
      <c r="O19" s="6">
        <f>(E19-E$31)^2</f>
        <v>1.2100000000000022E-4</v>
      </c>
    </row>
    <row r="20" spans="1:15" x14ac:dyDescent="0.4">
      <c r="A20" s="1">
        <v>2</v>
      </c>
      <c r="B20" s="23">
        <v>2.4089999999999998</v>
      </c>
      <c r="C20" s="23">
        <v>0.16900000000000001</v>
      </c>
      <c r="D20" s="24">
        <f t="shared" ref="D20:E28" si="6">B20-$F$19</f>
        <v>2.4189999999999996</v>
      </c>
      <c r="E20" s="24">
        <f t="shared" si="6"/>
        <v>0.17900000000000002</v>
      </c>
      <c r="F20" s="39"/>
      <c r="H20" s="38"/>
      <c r="I20" s="38"/>
      <c r="J20" s="38"/>
      <c r="K20" s="36"/>
      <c r="L20" s="36"/>
      <c r="N20" s="6">
        <f t="shared" ref="N20:O28" si="7">(D20-D$31)^2</f>
        <v>3.9999999999991189E-6</v>
      </c>
      <c r="O20" s="6">
        <f t="shared" si="7"/>
        <v>7.7037197775489434E-34</v>
      </c>
    </row>
    <row r="21" spans="1:15" x14ac:dyDescent="0.4">
      <c r="A21" s="1">
        <v>3</v>
      </c>
      <c r="B21" s="23">
        <v>2.4009999999999998</v>
      </c>
      <c r="C21" s="23">
        <v>0.17199999999999999</v>
      </c>
      <c r="D21" s="24">
        <f t="shared" si="6"/>
        <v>2.4109999999999996</v>
      </c>
      <c r="E21" s="24">
        <f t="shared" si="6"/>
        <v>0.182</v>
      </c>
      <c r="F21" s="39"/>
      <c r="H21" s="38"/>
      <c r="I21" s="38"/>
      <c r="J21" s="38"/>
      <c r="K21" s="36"/>
      <c r="L21" s="36"/>
      <c r="N21" s="6">
        <f t="shared" si="7"/>
        <v>3.6000000000002732E-5</v>
      </c>
      <c r="O21" s="6">
        <f t="shared" si="7"/>
        <v>9.0000000000000155E-6</v>
      </c>
    </row>
    <row r="22" spans="1:15" x14ac:dyDescent="0.4">
      <c r="A22" s="1">
        <v>4</v>
      </c>
      <c r="B22" s="23">
        <v>2.4140000000000001</v>
      </c>
      <c r="C22" s="23">
        <v>0.17</v>
      </c>
      <c r="D22" s="24">
        <f t="shared" si="6"/>
        <v>2.4239999999999999</v>
      </c>
      <c r="E22" s="24">
        <f t="shared" si="6"/>
        <v>0.18000000000000002</v>
      </c>
      <c r="F22" s="39"/>
      <c r="H22" s="38"/>
      <c r="I22" s="38"/>
      <c r="J22" s="38"/>
      <c r="K22" s="36"/>
      <c r="L22" s="36"/>
      <c r="N22" s="6">
        <f t="shared" si="7"/>
        <v>4.9000000000001638E-5</v>
      </c>
      <c r="O22" s="6">
        <f t="shared" si="7"/>
        <v>1.0000000000000573E-6</v>
      </c>
    </row>
    <row r="23" spans="1:15" x14ac:dyDescent="0.4">
      <c r="A23" s="1">
        <v>5</v>
      </c>
      <c r="B23" s="23">
        <v>2.4119999999999999</v>
      </c>
      <c r="C23" s="23">
        <v>0.17100000000000001</v>
      </c>
      <c r="D23" s="24">
        <f t="shared" si="6"/>
        <v>2.4219999999999997</v>
      </c>
      <c r="E23" s="24">
        <f t="shared" si="6"/>
        <v>0.18100000000000002</v>
      </c>
      <c r="F23" s="39"/>
      <c r="H23" s="38"/>
      <c r="I23" s="38"/>
      <c r="J23" s="38"/>
      <c r="K23" s="36"/>
      <c r="L23" s="36"/>
      <c r="N23" s="6">
        <f t="shared" si="7"/>
        <v>2.4999999999998934E-5</v>
      </c>
      <c r="O23" s="6">
        <f t="shared" si="7"/>
        <v>4.0000000000001184E-6</v>
      </c>
    </row>
    <row r="24" spans="1:15" x14ac:dyDescent="0.4">
      <c r="A24" s="1">
        <v>6</v>
      </c>
      <c r="B24" s="23">
        <v>2.41</v>
      </c>
      <c r="C24" s="23">
        <v>0.17100000000000001</v>
      </c>
      <c r="D24" s="24">
        <f t="shared" si="6"/>
        <v>2.42</v>
      </c>
      <c r="E24" s="24">
        <f t="shared" si="6"/>
        <v>0.18100000000000002</v>
      </c>
      <c r="F24" s="39"/>
      <c r="H24" s="38"/>
      <c r="I24" s="38"/>
      <c r="J24" s="38"/>
      <c r="K24" s="36"/>
      <c r="L24" s="36"/>
      <c r="N24" s="6">
        <f t="shared" si="7"/>
        <v>9.0000000000006829E-6</v>
      </c>
      <c r="O24" s="6">
        <f t="shared" si="7"/>
        <v>4.0000000000001184E-6</v>
      </c>
    </row>
    <row r="25" spans="1:15" x14ac:dyDescent="0.4">
      <c r="A25" s="1">
        <v>7</v>
      </c>
      <c r="B25" s="23">
        <v>2.419</v>
      </c>
      <c r="C25" s="23">
        <v>0.16</v>
      </c>
      <c r="D25" s="24">
        <f t="shared" si="6"/>
        <v>2.4289999999999998</v>
      </c>
      <c r="E25" s="24">
        <f t="shared" si="6"/>
        <v>0.17</v>
      </c>
      <c r="F25" s="39"/>
      <c r="H25" s="38"/>
      <c r="I25" s="38"/>
      <c r="J25" s="38"/>
      <c r="K25" s="36"/>
      <c r="L25" s="36"/>
      <c r="N25" s="6">
        <f t="shared" si="7"/>
        <v>1.4400000000000025E-4</v>
      </c>
      <c r="O25" s="6">
        <f t="shared" si="7"/>
        <v>8.0999999999999638E-5</v>
      </c>
    </row>
    <row r="26" spans="1:15" x14ac:dyDescent="0.4">
      <c r="A26" s="1">
        <v>8</v>
      </c>
      <c r="B26" s="23">
        <v>2.4</v>
      </c>
      <c r="C26" s="23">
        <v>0.16500000000000001</v>
      </c>
      <c r="D26" s="24">
        <f t="shared" si="6"/>
        <v>2.4099999999999997</v>
      </c>
      <c r="E26" s="24">
        <f t="shared" si="6"/>
        <v>0.17500000000000002</v>
      </c>
      <c r="F26" s="39"/>
      <c r="H26" s="38"/>
      <c r="I26" s="38"/>
      <c r="J26" s="38"/>
      <c r="K26" s="36"/>
      <c r="L26" s="36"/>
      <c r="N26" s="6">
        <f t="shared" si="7"/>
        <v>4.9000000000001638E-5</v>
      </c>
      <c r="O26" s="6">
        <f t="shared" si="7"/>
        <v>1.5999999999999806E-5</v>
      </c>
    </row>
    <row r="27" spans="1:15" x14ac:dyDescent="0.4">
      <c r="A27" s="1">
        <v>9</v>
      </c>
      <c r="B27" s="23">
        <v>2.391</v>
      </c>
      <c r="C27" s="23">
        <v>0.16900000000000001</v>
      </c>
      <c r="D27" s="24">
        <f t="shared" si="6"/>
        <v>2.4009999999999998</v>
      </c>
      <c r="E27" s="24">
        <f t="shared" si="6"/>
        <v>0.17900000000000002</v>
      </c>
      <c r="F27" s="39"/>
      <c r="H27" s="38"/>
      <c r="I27" s="38"/>
      <c r="J27" s="38"/>
      <c r="K27" s="36"/>
      <c r="L27" s="36"/>
      <c r="N27" s="6">
        <f t="shared" si="7"/>
        <v>2.5600000000000048E-4</v>
      </c>
      <c r="O27" s="6">
        <f t="shared" si="7"/>
        <v>7.7037197775489434E-34</v>
      </c>
    </row>
    <row r="28" spans="1:15" x14ac:dyDescent="0.4">
      <c r="A28" s="1">
        <v>10</v>
      </c>
      <c r="B28" s="23">
        <v>2.41</v>
      </c>
      <c r="C28" s="23">
        <v>0.16600000000000001</v>
      </c>
      <c r="D28" s="24">
        <f t="shared" si="6"/>
        <v>2.42</v>
      </c>
      <c r="E28" s="24">
        <f t="shared" si="6"/>
        <v>0.17600000000000002</v>
      </c>
      <c r="F28" s="39"/>
      <c r="H28" s="38"/>
      <c r="I28" s="38"/>
      <c r="J28" s="38"/>
      <c r="K28" s="36"/>
      <c r="L28" s="36"/>
      <c r="N28" s="6">
        <f t="shared" si="7"/>
        <v>9.0000000000006829E-6</v>
      </c>
      <c r="O28" s="6">
        <f t="shared" si="7"/>
        <v>8.9999999999998495E-6</v>
      </c>
    </row>
    <row r="29" spans="1:15" x14ac:dyDescent="0.4">
      <c r="A29" s="1" t="s">
        <v>8</v>
      </c>
      <c r="B29" s="27">
        <f>AVERAGE(B19:B28)</f>
        <v>2.4074</v>
      </c>
      <c r="C29" s="27">
        <f t="shared" ref="C29:E29" si="8">AVERAGE(C19:C28)</f>
        <v>0.16929999999999998</v>
      </c>
      <c r="D29" s="27">
        <f t="shared" si="8"/>
        <v>2.4173999999999998</v>
      </c>
      <c r="E29" s="27">
        <f t="shared" si="8"/>
        <v>0.17929999999999999</v>
      </c>
      <c r="F29" s="4"/>
      <c r="G29" s="7"/>
      <c r="K29" s="16" t="s">
        <v>113</v>
      </c>
      <c r="L29" s="16" t="s">
        <v>114</v>
      </c>
      <c r="N29" s="35" t="s">
        <v>112</v>
      </c>
      <c r="O29" s="35"/>
    </row>
    <row r="30" spans="1:15" x14ac:dyDescent="0.4">
      <c r="B30" s="4"/>
      <c r="C30" s="4"/>
      <c r="D30" s="4"/>
      <c r="E30" s="4"/>
      <c r="F30" s="4"/>
      <c r="G30" s="4"/>
      <c r="K30" s="25">
        <f t="shared" ref="K30:L30" si="9">ROUNDUP(K19,3)</f>
        <v>4.0000000000000001E-3</v>
      </c>
      <c r="L30" s="25">
        <f t="shared" si="9"/>
        <v>3.0000000000000001E-3</v>
      </c>
      <c r="N30" s="29">
        <f>SQRT(SUM(N19:N28)/($A$28*$A$27))</f>
        <v>2.5429641497014331E-3</v>
      </c>
      <c r="O30" s="29">
        <f>SQRT(SUM(O19:O28)/($A$28*$A$27))</f>
        <v>1.6499158227686102E-3</v>
      </c>
    </row>
    <row r="31" spans="1:15" x14ac:dyDescent="0.4">
      <c r="A31" s="16" t="s">
        <v>88</v>
      </c>
      <c r="B31" s="24"/>
      <c r="C31" s="24"/>
      <c r="D31" s="25">
        <f t="shared" ref="D31:E31" si="10">TranValue(D29,3)</f>
        <v>2.4169999999999998</v>
      </c>
      <c r="E31" s="25">
        <f t="shared" si="10"/>
        <v>0.17899999999999999</v>
      </c>
      <c r="F31" s="4"/>
      <c r="K31" s="16" t="s">
        <v>153</v>
      </c>
      <c r="L31" s="16" t="s">
        <v>155</v>
      </c>
    </row>
    <row r="32" spans="1:15" x14ac:dyDescent="0.4">
      <c r="K32" s="31">
        <f>K$30/D$31</f>
        <v>1.6549441456350849E-3</v>
      </c>
      <c r="L32" s="31">
        <f>L$30/E$31</f>
        <v>1.6759776536312849E-2</v>
      </c>
    </row>
  </sheetData>
  <mergeCells count="22">
    <mergeCell ref="A1:D1"/>
    <mergeCell ref="I3:I12"/>
    <mergeCell ref="H3:H12"/>
    <mergeCell ref="H19:H28"/>
    <mergeCell ref="I19:I28"/>
    <mergeCell ref="J3:J12"/>
    <mergeCell ref="J19:J28"/>
    <mergeCell ref="K3:K12"/>
    <mergeCell ref="L3:L12"/>
    <mergeCell ref="F19:F28"/>
    <mergeCell ref="A17:F17"/>
    <mergeCell ref="K19:K28"/>
    <mergeCell ref="M3:M12"/>
    <mergeCell ref="N2:P2"/>
    <mergeCell ref="N18:O18"/>
    <mergeCell ref="N13:P13"/>
    <mergeCell ref="L19:L28"/>
    <mergeCell ref="R6:S6"/>
    <mergeCell ref="R4:S4"/>
    <mergeCell ref="R9:S9"/>
    <mergeCell ref="R10:S10"/>
    <mergeCell ref="N29:O29"/>
  </mergeCells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T50"/>
  <sheetViews>
    <sheetView tabSelected="1" topLeftCell="A4" zoomScale="25" zoomScaleNormal="25" workbookViewId="0">
      <selection activeCell="G29" sqref="G29"/>
    </sheetView>
  </sheetViews>
  <sheetFormatPr defaultRowHeight="13.9" x14ac:dyDescent="0.4"/>
  <cols>
    <col min="1" max="1" width="9.06640625" style="1" bestFit="1" customWidth="1"/>
    <col min="2" max="3" width="10.265625" style="1" bestFit="1" customWidth="1"/>
    <col min="4" max="5" width="12.46484375" style="1" bestFit="1" customWidth="1"/>
    <col min="6" max="6" width="12" style="1" bestFit="1" customWidth="1"/>
    <col min="7" max="7" width="9.06640625" style="1"/>
    <col min="8" max="9" width="9.33203125" style="1" bestFit="1" customWidth="1"/>
    <col min="10" max="11" width="9.6640625" style="1" bestFit="1" customWidth="1"/>
    <col min="12" max="12" width="20.46484375" style="1" bestFit="1" customWidth="1"/>
    <col min="13" max="13" width="9.6640625" style="1" bestFit="1" customWidth="1"/>
    <col min="14" max="14" width="20.46484375" style="1" bestFit="1" customWidth="1"/>
    <col min="15" max="15" width="14.1328125" style="1" bestFit="1" customWidth="1"/>
    <col min="16" max="16" width="9.6640625" style="5" bestFit="1" customWidth="1"/>
    <col min="17" max="17" width="9.33203125" style="1" bestFit="1" customWidth="1"/>
    <col min="18" max="18" width="12.59765625" style="1" bestFit="1" customWidth="1"/>
    <col min="19" max="19" width="13" style="1" bestFit="1" customWidth="1"/>
    <col min="20" max="20" width="50.265625" style="1" bestFit="1" customWidth="1"/>
    <col min="21" max="16384" width="9.06640625" style="1"/>
  </cols>
  <sheetData>
    <row r="1" spans="1:20" x14ac:dyDescent="0.4">
      <c r="A1" s="34" t="s">
        <v>0</v>
      </c>
      <c r="B1" s="34"/>
      <c r="C1" s="34"/>
      <c r="D1" s="34"/>
      <c r="E1" s="15"/>
    </row>
    <row r="2" spans="1:20" x14ac:dyDescent="0.4">
      <c r="A2" s="1" t="s">
        <v>1</v>
      </c>
      <c r="B2" s="1" t="s">
        <v>2</v>
      </c>
      <c r="C2" s="1" t="s">
        <v>3</v>
      </c>
      <c r="D2" s="1" t="s">
        <v>4</v>
      </c>
      <c r="H2" s="1" t="s">
        <v>13</v>
      </c>
      <c r="I2" s="1" t="s">
        <v>96</v>
      </c>
      <c r="J2" s="1" t="s">
        <v>101</v>
      </c>
      <c r="K2" s="1" t="s">
        <v>102</v>
      </c>
      <c r="L2" s="1" t="s">
        <v>16</v>
      </c>
      <c r="M2" s="1" t="s">
        <v>17</v>
      </c>
      <c r="N2" s="37" t="s">
        <v>14</v>
      </c>
      <c r="O2" s="37"/>
      <c r="P2" s="37"/>
      <c r="R2" s="1" t="s">
        <v>119</v>
      </c>
      <c r="S2" s="1" t="s">
        <v>118</v>
      </c>
    </row>
    <row r="3" spans="1:20" x14ac:dyDescent="0.4">
      <c r="A3" s="1">
        <v>1</v>
      </c>
      <c r="B3" s="18">
        <v>26</v>
      </c>
      <c r="C3" s="18">
        <v>21.6</v>
      </c>
      <c r="D3" s="18">
        <v>50</v>
      </c>
      <c r="E3" s="12"/>
      <c r="H3" s="38">
        <v>0.02</v>
      </c>
      <c r="I3" s="38">
        <f>$H$3/SQRT(3)</f>
        <v>1.1547005383792516E-2</v>
      </c>
      <c r="J3" s="38">
        <v>1.06</v>
      </c>
      <c r="K3" s="36">
        <f>SQRT(($J$3*N14)^2+$I$3^2)</f>
        <v>1.2381778727002175E-2</v>
      </c>
      <c r="L3" s="36">
        <f>SQRT(($J$3*O14)^2+$I$3^2)</f>
        <v>1.2581821101185093E-2</v>
      </c>
      <c r="M3" s="36">
        <f>SQRT(($J$3*P14)^2+$I$3^2)</f>
        <v>1.1971670263120848E-2</v>
      </c>
      <c r="N3" s="2">
        <f>(B3-B$15)^2</f>
        <v>0</v>
      </c>
      <c r="O3" s="2">
        <f t="shared" ref="O3:O12" si="0">(C3-C$15)^2</f>
        <v>0</v>
      </c>
      <c r="P3" s="2">
        <f t="shared" ref="P3:P12" si="1">(D3-D$15)^2</f>
        <v>0</v>
      </c>
      <c r="R3" s="1">
        <f>(PI()/4)*$D$15*($B$15^2-$C$15^2)</f>
        <v>8224.6895670980757</v>
      </c>
      <c r="S3" s="1">
        <f>SQRT((($B$15^2-$C$15^2)^2)*$M$14^2+((2*$D$15*$B$15)^2)*$K$14^2+((-2*$D$15*$C$15)^2)*$L$14^2)</f>
        <v>67.733197513774584</v>
      </c>
    </row>
    <row r="4" spans="1:20" x14ac:dyDescent="0.4">
      <c r="A4" s="1">
        <v>2</v>
      </c>
      <c r="B4" s="18">
        <v>26</v>
      </c>
      <c r="C4" s="18">
        <v>21.58</v>
      </c>
      <c r="D4" s="18">
        <v>50.02</v>
      </c>
      <c r="E4" s="12"/>
      <c r="H4" s="38"/>
      <c r="I4" s="38"/>
      <c r="J4" s="38"/>
      <c r="K4" s="36"/>
      <c r="L4" s="36"/>
      <c r="M4" s="36"/>
      <c r="N4" s="2">
        <f t="shared" ref="N4:N12" si="2">(B4-B$15)^2</f>
        <v>0</v>
      </c>
      <c r="O4" s="2">
        <f t="shared" si="0"/>
        <v>4.0000000000012508E-4</v>
      </c>
      <c r="P4" s="2">
        <f t="shared" si="1"/>
        <v>4.0000000000012508E-4</v>
      </c>
      <c r="R4" s="34" t="s">
        <v>127</v>
      </c>
      <c r="S4" s="34"/>
    </row>
    <row r="5" spans="1:20" x14ac:dyDescent="0.4">
      <c r="A5" s="1">
        <v>3</v>
      </c>
      <c r="B5" s="18">
        <v>25.98</v>
      </c>
      <c r="C5" s="18">
        <v>21.6</v>
      </c>
      <c r="D5" s="18">
        <v>50</v>
      </c>
      <c r="E5" s="12"/>
      <c r="H5" s="38"/>
      <c r="I5" s="38"/>
      <c r="J5" s="38"/>
      <c r="K5" s="36"/>
      <c r="L5" s="36"/>
      <c r="M5" s="36"/>
      <c r="N5" s="2">
        <f t="shared" si="2"/>
        <v>3.9999999999998294E-4</v>
      </c>
      <c r="O5" s="2">
        <f t="shared" si="0"/>
        <v>0</v>
      </c>
      <c r="P5" s="2">
        <f t="shared" si="1"/>
        <v>0</v>
      </c>
      <c r="R5" s="1">
        <f>TranValue(R3,2)</f>
        <v>8224.69</v>
      </c>
      <c r="S5" s="1">
        <v>67.733197513774584</v>
      </c>
    </row>
    <row r="6" spans="1:20" x14ac:dyDescent="0.4">
      <c r="A6" s="1">
        <v>4</v>
      </c>
      <c r="B6" s="18">
        <v>26</v>
      </c>
      <c r="C6" s="18">
        <v>21.62</v>
      </c>
      <c r="D6" s="18">
        <v>50</v>
      </c>
      <c r="E6" s="12"/>
      <c r="H6" s="38"/>
      <c r="I6" s="38"/>
      <c r="J6" s="38"/>
      <c r="K6" s="36"/>
      <c r="L6" s="36"/>
      <c r="M6" s="36"/>
      <c r="N6" s="2">
        <f t="shared" si="2"/>
        <v>0</v>
      </c>
      <c r="O6" s="2">
        <f t="shared" si="0"/>
        <v>3.9999999999998294E-4</v>
      </c>
      <c r="P6" s="2">
        <f t="shared" si="1"/>
        <v>0</v>
      </c>
      <c r="R6" s="33" t="s">
        <v>124</v>
      </c>
      <c r="S6" s="33"/>
    </row>
    <row r="7" spans="1:20" x14ac:dyDescent="0.4">
      <c r="A7" s="1">
        <v>5</v>
      </c>
      <c r="B7" s="18">
        <v>25.98</v>
      </c>
      <c r="C7" s="18">
        <v>21.58</v>
      </c>
      <c r="D7" s="18">
        <v>50</v>
      </c>
      <c r="E7" s="12"/>
      <c r="H7" s="38"/>
      <c r="I7" s="38"/>
      <c r="J7" s="38"/>
      <c r="K7" s="36"/>
      <c r="L7" s="36"/>
      <c r="M7" s="36"/>
      <c r="N7" s="2">
        <f t="shared" si="2"/>
        <v>3.9999999999998294E-4</v>
      </c>
      <c r="O7" s="2">
        <f t="shared" si="0"/>
        <v>4.0000000000012508E-4</v>
      </c>
      <c r="P7" s="2">
        <f t="shared" si="1"/>
        <v>0</v>
      </c>
      <c r="R7" s="22">
        <f>TranValue(R5,2)</f>
        <v>8224.69</v>
      </c>
      <c r="S7" s="16">
        <v>67.733197513774584</v>
      </c>
      <c r="T7" s="16" t="s">
        <v>160</v>
      </c>
    </row>
    <row r="8" spans="1:20" x14ac:dyDescent="0.4">
      <c r="A8" s="1">
        <v>6</v>
      </c>
      <c r="B8" s="18">
        <v>26</v>
      </c>
      <c r="C8" s="18">
        <v>21.6</v>
      </c>
      <c r="D8" s="18">
        <v>49.98</v>
      </c>
      <c r="E8" s="12"/>
      <c r="H8" s="38"/>
      <c r="I8" s="38"/>
      <c r="J8" s="38"/>
      <c r="K8" s="36"/>
      <c r="L8" s="36"/>
      <c r="M8" s="36"/>
      <c r="N8" s="2">
        <f t="shared" si="2"/>
        <v>0</v>
      </c>
      <c r="O8" s="2">
        <f t="shared" si="0"/>
        <v>0</v>
      </c>
      <c r="P8" s="2">
        <f t="shared" si="1"/>
        <v>4.0000000000012508E-4</v>
      </c>
    </row>
    <row r="9" spans="1:20" x14ac:dyDescent="0.4">
      <c r="A9" s="1">
        <v>7</v>
      </c>
      <c r="B9" s="18">
        <v>26.02</v>
      </c>
      <c r="C9" s="18">
        <v>21.62</v>
      </c>
      <c r="D9" s="18">
        <v>50</v>
      </c>
      <c r="E9" s="12"/>
      <c r="H9" s="38"/>
      <c r="I9" s="38"/>
      <c r="J9" s="38"/>
      <c r="K9" s="36"/>
      <c r="L9" s="36"/>
      <c r="M9" s="36"/>
      <c r="N9" s="2">
        <f t="shared" si="2"/>
        <v>3.9999999999998294E-4</v>
      </c>
      <c r="O9" s="2">
        <f t="shared" si="0"/>
        <v>3.9999999999998294E-4</v>
      </c>
      <c r="P9" s="2">
        <f t="shared" si="1"/>
        <v>0</v>
      </c>
      <c r="R9" s="33" t="s">
        <v>134</v>
      </c>
      <c r="S9" s="33"/>
    </row>
    <row r="10" spans="1:20" x14ac:dyDescent="0.4">
      <c r="A10" s="1">
        <v>8</v>
      </c>
      <c r="B10" s="18">
        <v>25.98</v>
      </c>
      <c r="C10" s="18">
        <v>21.58</v>
      </c>
      <c r="D10" s="18">
        <v>50</v>
      </c>
      <c r="E10" s="12"/>
      <c r="H10" s="38"/>
      <c r="I10" s="38"/>
      <c r="J10" s="38"/>
      <c r="K10" s="36"/>
      <c r="L10" s="36"/>
      <c r="M10" s="36"/>
      <c r="N10" s="2">
        <f t="shared" si="2"/>
        <v>3.9999999999998294E-4</v>
      </c>
      <c r="O10" s="2">
        <f t="shared" si="0"/>
        <v>4.0000000000012508E-4</v>
      </c>
      <c r="P10" s="2">
        <f t="shared" si="1"/>
        <v>0</v>
      </c>
      <c r="R10" s="33">
        <v>0.68300000000000005</v>
      </c>
      <c r="S10" s="33"/>
    </row>
    <row r="11" spans="1:20" x14ac:dyDescent="0.4">
      <c r="A11" s="1">
        <v>9</v>
      </c>
      <c r="B11" s="18">
        <v>26</v>
      </c>
      <c r="C11" s="18">
        <v>21.6</v>
      </c>
      <c r="D11" s="18">
        <v>50</v>
      </c>
      <c r="E11" s="12"/>
      <c r="H11" s="38"/>
      <c r="I11" s="38"/>
      <c r="J11" s="38"/>
      <c r="K11" s="36"/>
      <c r="L11" s="36"/>
      <c r="M11" s="36"/>
      <c r="N11" s="2">
        <f t="shared" si="2"/>
        <v>0</v>
      </c>
      <c r="O11" s="2">
        <f t="shared" si="0"/>
        <v>0</v>
      </c>
      <c r="P11" s="2">
        <f t="shared" si="1"/>
        <v>0</v>
      </c>
    </row>
    <row r="12" spans="1:20" x14ac:dyDescent="0.4">
      <c r="A12" s="1">
        <v>10</v>
      </c>
      <c r="B12" s="18">
        <v>26</v>
      </c>
      <c r="C12" s="18">
        <v>21.6</v>
      </c>
      <c r="D12" s="18">
        <v>50</v>
      </c>
      <c r="E12" s="12"/>
      <c r="H12" s="38"/>
      <c r="I12" s="38"/>
      <c r="J12" s="38"/>
      <c r="K12" s="36"/>
      <c r="L12" s="36"/>
      <c r="M12" s="36"/>
      <c r="N12" s="2">
        <f t="shared" si="2"/>
        <v>0</v>
      </c>
      <c r="O12" s="2">
        <f t="shared" si="0"/>
        <v>0</v>
      </c>
      <c r="P12" s="2">
        <f t="shared" si="1"/>
        <v>0</v>
      </c>
    </row>
    <row r="13" spans="1:20" x14ac:dyDescent="0.4">
      <c r="A13" s="1" t="s">
        <v>5</v>
      </c>
      <c r="B13" s="19">
        <f>AVERAGE(B3:B12)</f>
        <v>25.996000000000002</v>
      </c>
      <c r="C13" s="19">
        <f>AVERAGE(C3:C12)</f>
        <v>21.598000000000003</v>
      </c>
      <c r="D13" s="19">
        <f>AVERAGE(D3:D12)</f>
        <v>50</v>
      </c>
      <c r="E13" s="5"/>
      <c r="H13" s="3"/>
      <c r="I13" s="3"/>
      <c r="J13" s="3"/>
      <c r="K13" s="16" t="s">
        <v>106</v>
      </c>
      <c r="L13" s="16" t="s">
        <v>110</v>
      </c>
      <c r="M13" s="16" t="s">
        <v>17</v>
      </c>
      <c r="N13" s="35" t="s">
        <v>137</v>
      </c>
      <c r="O13" s="35"/>
      <c r="P13" s="35"/>
    </row>
    <row r="14" spans="1:20" x14ac:dyDescent="0.4">
      <c r="E14" s="5"/>
      <c r="I14" s="9"/>
      <c r="K14" s="28">
        <f>ROUNDUP(K3,2)</f>
        <v>0.02</v>
      </c>
      <c r="L14" s="28">
        <f t="shared" ref="L14:M14" si="3">ROUNDUP(L3,2)</f>
        <v>0.02</v>
      </c>
      <c r="M14" s="28">
        <f t="shared" si="3"/>
        <v>0.02</v>
      </c>
      <c r="N14" s="29">
        <f>SQRT(SUM(N3:N12)/($A$12*$A$11))</f>
        <v>4.2163702135577493E-3</v>
      </c>
      <c r="O14" s="29">
        <f t="shared" ref="O14:P14" si="4">SQRT(SUM(O3:O12)/($A$12*$A$11))</f>
        <v>4.7140452079107191E-3</v>
      </c>
      <c r="P14" s="29">
        <f t="shared" si="4"/>
        <v>2.9814239700001856E-3</v>
      </c>
    </row>
    <row r="15" spans="1:20" x14ac:dyDescent="0.4">
      <c r="A15" s="16" t="s">
        <v>91</v>
      </c>
      <c r="B15" s="20">
        <f>TranValue(B13,2)</f>
        <v>26</v>
      </c>
      <c r="C15" s="20">
        <f>TranValue(C13,2)</f>
        <v>21.6</v>
      </c>
      <c r="D15" s="20">
        <f>TranValue(D13,2)</f>
        <v>50</v>
      </c>
      <c r="E15" s="5"/>
      <c r="F15" s="5"/>
      <c r="G15" s="5"/>
      <c r="H15" s="5"/>
      <c r="I15" s="5"/>
      <c r="K15" s="16" t="s">
        <v>140</v>
      </c>
      <c r="L15" s="16" t="s">
        <v>147</v>
      </c>
      <c r="M15" s="16" t="s">
        <v>150</v>
      </c>
    </row>
    <row r="16" spans="1:20" x14ac:dyDescent="0.4">
      <c r="K16" s="31">
        <f>K$14/B$15</f>
        <v>7.6923076923076923E-4</v>
      </c>
      <c r="L16" s="31">
        <f t="shared" ref="L16:M16" si="5">L$14/C$15</f>
        <v>9.2592592592592585E-4</v>
      </c>
      <c r="M16" s="31">
        <f t="shared" si="5"/>
        <v>4.0000000000000002E-4</v>
      </c>
    </row>
    <row r="17" spans="1:15" x14ac:dyDescent="0.4">
      <c r="A17" s="34" t="s">
        <v>6</v>
      </c>
      <c r="B17" s="34"/>
      <c r="C17" s="34"/>
      <c r="D17" s="34"/>
      <c r="E17" s="34"/>
      <c r="F17" s="34"/>
    </row>
    <row r="18" spans="1:15" x14ac:dyDescent="0.4">
      <c r="A18" s="1" t="s">
        <v>1</v>
      </c>
      <c r="B18" s="1" t="s">
        <v>20</v>
      </c>
      <c r="C18" s="1" t="s">
        <v>22</v>
      </c>
      <c r="D18" s="1" t="s">
        <v>9</v>
      </c>
      <c r="E18" s="1" t="s">
        <v>87</v>
      </c>
      <c r="F18" s="1" t="s">
        <v>83</v>
      </c>
      <c r="H18" s="1" t="s">
        <v>13</v>
      </c>
      <c r="I18" s="1" t="s">
        <v>10</v>
      </c>
      <c r="J18" s="1" t="s">
        <v>12</v>
      </c>
      <c r="K18" s="1" t="s">
        <v>18</v>
      </c>
      <c r="L18" s="1" t="s">
        <v>19</v>
      </c>
      <c r="N18" s="37" t="s">
        <v>14</v>
      </c>
      <c r="O18" s="37"/>
    </row>
    <row r="19" spans="1:15" x14ac:dyDescent="0.4">
      <c r="A19" s="1">
        <v>1</v>
      </c>
      <c r="B19" s="23">
        <v>1.9490000000000001</v>
      </c>
      <c r="C19" s="23">
        <v>0.14099999999999999</v>
      </c>
      <c r="D19" s="24">
        <f>B19-$F$19</f>
        <v>1.9490000000000001</v>
      </c>
      <c r="E19" s="24">
        <f>C19-$F$19</f>
        <v>0.14099999999999999</v>
      </c>
      <c r="F19" s="39">
        <v>0</v>
      </c>
      <c r="H19" s="38">
        <v>4.0000000000000001E-3</v>
      </c>
      <c r="I19" s="38">
        <f>$H$19/SQRT(3)</f>
        <v>2.3094010767585032E-3</v>
      </c>
      <c r="J19" s="38">
        <v>1.06</v>
      </c>
      <c r="K19" s="36">
        <f>SQRT(($J$19*N30)^2+$I$19^2)</f>
        <v>3.0172231530921946E-3</v>
      </c>
      <c r="L19" s="36">
        <f>SQRT(($J$19*O30)^2+$I$19^2)</f>
        <v>4.978362961634856E-3</v>
      </c>
      <c r="N19" s="6">
        <f>(D19-D$31)^2</f>
        <v>9.0000000000006829E-6</v>
      </c>
      <c r="O19" s="6">
        <f>(E19-E$31)^2</f>
        <v>3.9999999999998965E-6</v>
      </c>
    </row>
    <row r="20" spans="1:15" x14ac:dyDescent="0.4">
      <c r="A20" s="1">
        <v>2</v>
      </c>
      <c r="B20" s="23">
        <v>1.9510000000000001</v>
      </c>
      <c r="C20" s="23">
        <v>0.13900000000000001</v>
      </c>
      <c r="D20" s="24">
        <f t="shared" ref="D20:E28" si="6">B20-$F$19</f>
        <v>1.9510000000000001</v>
      </c>
      <c r="E20" s="24">
        <f t="shared" si="6"/>
        <v>0.13900000000000001</v>
      </c>
      <c r="F20" s="39"/>
      <c r="H20" s="38"/>
      <c r="I20" s="38"/>
      <c r="J20" s="38"/>
      <c r="K20" s="36"/>
      <c r="L20" s="36"/>
      <c r="N20" s="6">
        <f t="shared" ref="N20:O28" si="7">(D20-D$31)^2</f>
        <v>2.5000000000001153E-5</v>
      </c>
      <c r="O20" s="6">
        <f t="shared" si="7"/>
        <v>0</v>
      </c>
    </row>
    <row r="21" spans="1:15" x14ac:dyDescent="0.4">
      <c r="A21" s="1">
        <v>3</v>
      </c>
      <c r="B21" s="23">
        <v>1.9450000000000001</v>
      </c>
      <c r="C21" s="23">
        <v>0.11</v>
      </c>
      <c r="D21" s="24">
        <f t="shared" si="6"/>
        <v>1.9450000000000001</v>
      </c>
      <c r="E21" s="24">
        <f t="shared" si="6"/>
        <v>0.11</v>
      </c>
      <c r="F21" s="39"/>
      <c r="H21" s="38"/>
      <c r="I21" s="38"/>
      <c r="J21" s="38"/>
      <c r="K21" s="36"/>
      <c r="L21" s="36"/>
      <c r="N21" s="6">
        <f t="shared" si="7"/>
        <v>9.9999999999977973E-7</v>
      </c>
      <c r="O21" s="6">
        <f t="shared" si="7"/>
        <v>8.4100000000000071E-4</v>
      </c>
    </row>
    <row r="22" spans="1:15" x14ac:dyDescent="0.4">
      <c r="A22" s="1">
        <v>4</v>
      </c>
      <c r="B22" s="23">
        <v>1.9319999999999999</v>
      </c>
      <c r="C22" s="23">
        <v>0.129</v>
      </c>
      <c r="D22" s="24">
        <f t="shared" si="6"/>
        <v>1.9319999999999999</v>
      </c>
      <c r="E22" s="24">
        <f t="shared" si="6"/>
        <v>0.129</v>
      </c>
      <c r="F22" s="39"/>
      <c r="H22" s="38"/>
      <c r="I22" s="38"/>
      <c r="J22" s="38"/>
      <c r="K22" s="36"/>
      <c r="L22" s="36"/>
      <c r="N22" s="6">
        <f t="shared" si="7"/>
        <v>1.9600000000000035E-4</v>
      </c>
      <c r="O22" s="6">
        <f t="shared" si="7"/>
        <v>1.0000000000000018E-4</v>
      </c>
    </row>
    <row r="23" spans="1:15" x14ac:dyDescent="0.4">
      <c r="A23" s="1">
        <v>5</v>
      </c>
      <c r="B23" s="23">
        <v>1.9419999999999999</v>
      </c>
      <c r="C23" s="23">
        <v>0.13600000000000001</v>
      </c>
      <c r="D23" s="24">
        <f t="shared" si="6"/>
        <v>1.9419999999999999</v>
      </c>
      <c r="E23" s="24">
        <f t="shared" si="6"/>
        <v>0.13600000000000001</v>
      </c>
      <c r="F23" s="39"/>
      <c r="H23" s="38"/>
      <c r="I23" s="38"/>
      <c r="J23" s="38"/>
      <c r="K23" s="36"/>
      <c r="L23" s="36"/>
      <c r="N23" s="6">
        <f t="shared" si="7"/>
        <v>1.600000000000003E-5</v>
      </c>
      <c r="O23" s="6">
        <f t="shared" si="7"/>
        <v>9.0000000000000155E-6</v>
      </c>
    </row>
    <row r="24" spans="1:15" x14ac:dyDescent="0.4">
      <c r="A24" s="1">
        <v>6</v>
      </c>
      <c r="B24" s="23">
        <v>1.95</v>
      </c>
      <c r="C24" s="23">
        <v>0.14000000000000001</v>
      </c>
      <c r="D24" s="24">
        <f t="shared" si="6"/>
        <v>1.95</v>
      </c>
      <c r="E24" s="24">
        <f t="shared" si="6"/>
        <v>0.14000000000000001</v>
      </c>
      <c r="F24" s="39"/>
      <c r="H24" s="38"/>
      <c r="I24" s="38"/>
      <c r="J24" s="38"/>
      <c r="K24" s="36"/>
      <c r="L24" s="36"/>
      <c r="N24" s="6">
        <f t="shared" si="7"/>
        <v>1.600000000000003E-5</v>
      </c>
      <c r="O24" s="6">
        <f t="shared" si="7"/>
        <v>1.0000000000000019E-6</v>
      </c>
    </row>
    <row r="25" spans="1:15" x14ac:dyDescent="0.4">
      <c r="A25" s="1">
        <v>7</v>
      </c>
      <c r="B25" s="23">
        <v>1.948</v>
      </c>
      <c r="C25" s="23">
        <v>0.15</v>
      </c>
      <c r="D25" s="24">
        <f t="shared" si="6"/>
        <v>1.948</v>
      </c>
      <c r="E25" s="24">
        <f t="shared" si="6"/>
        <v>0.15</v>
      </c>
      <c r="F25" s="39"/>
      <c r="H25" s="38"/>
      <c r="I25" s="38"/>
      <c r="J25" s="38"/>
      <c r="K25" s="36"/>
      <c r="L25" s="36"/>
      <c r="N25" s="6">
        <f t="shared" si="7"/>
        <v>4.0000000000000074E-6</v>
      </c>
      <c r="O25" s="6">
        <f t="shared" si="7"/>
        <v>1.2099999999999961E-4</v>
      </c>
    </row>
    <row r="26" spans="1:15" x14ac:dyDescent="0.4">
      <c r="A26" s="1">
        <v>8</v>
      </c>
      <c r="B26" s="23">
        <v>1.9510000000000001</v>
      </c>
      <c r="C26" s="23">
        <v>0.13800000000000001</v>
      </c>
      <c r="D26" s="24">
        <f t="shared" si="6"/>
        <v>1.9510000000000001</v>
      </c>
      <c r="E26" s="24">
        <f t="shared" si="6"/>
        <v>0.13800000000000001</v>
      </c>
      <c r="F26" s="39"/>
      <c r="H26" s="38"/>
      <c r="I26" s="38"/>
      <c r="J26" s="38"/>
      <c r="K26" s="36"/>
      <c r="L26" s="36"/>
      <c r="N26" s="6">
        <f t="shared" si="7"/>
        <v>2.5000000000001153E-5</v>
      </c>
      <c r="O26" s="6">
        <f t="shared" si="7"/>
        <v>1.0000000000000019E-6</v>
      </c>
    </row>
    <row r="27" spans="1:15" x14ac:dyDescent="0.4">
      <c r="A27" s="1">
        <v>9</v>
      </c>
      <c r="B27" s="23">
        <v>1.9490000000000001</v>
      </c>
      <c r="C27" s="23">
        <v>0.159</v>
      </c>
      <c r="D27" s="24">
        <f t="shared" si="6"/>
        <v>1.9490000000000001</v>
      </c>
      <c r="E27" s="24">
        <f t="shared" si="6"/>
        <v>0.159</v>
      </c>
      <c r="F27" s="39"/>
      <c r="H27" s="38"/>
      <c r="I27" s="38"/>
      <c r="J27" s="38"/>
      <c r="K27" s="36"/>
      <c r="L27" s="36"/>
      <c r="N27" s="6">
        <f t="shared" si="7"/>
        <v>9.0000000000006829E-6</v>
      </c>
      <c r="O27" s="6">
        <f t="shared" si="7"/>
        <v>3.9999999999999959E-4</v>
      </c>
    </row>
    <row r="28" spans="1:15" x14ac:dyDescent="0.4">
      <c r="A28" s="1">
        <v>10</v>
      </c>
      <c r="B28" s="23">
        <v>1.9470000000000001</v>
      </c>
      <c r="C28" s="23">
        <v>0.14799999999999999</v>
      </c>
      <c r="D28" s="24">
        <f t="shared" si="6"/>
        <v>1.9470000000000001</v>
      </c>
      <c r="E28" s="24">
        <f t="shared" si="6"/>
        <v>0.14799999999999999</v>
      </c>
      <c r="F28" s="39"/>
      <c r="H28" s="38"/>
      <c r="I28" s="38"/>
      <c r="J28" s="38"/>
      <c r="K28" s="36"/>
      <c r="L28" s="36"/>
      <c r="N28" s="6">
        <f t="shared" si="7"/>
        <v>1.0000000000002238E-6</v>
      </c>
      <c r="O28" s="6">
        <f t="shared" si="7"/>
        <v>8.0999999999999638E-5</v>
      </c>
    </row>
    <row r="29" spans="1:15" x14ac:dyDescent="0.4">
      <c r="A29" s="1" t="s">
        <v>5</v>
      </c>
      <c r="B29" s="27">
        <f>AVERAGE(B19:B28)</f>
        <v>1.9464000000000001</v>
      </c>
      <c r="C29" s="27">
        <f t="shared" ref="C29:E29" si="8">AVERAGE(C19:C28)</f>
        <v>0.13900000000000001</v>
      </c>
      <c r="D29" s="27">
        <f t="shared" si="8"/>
        <v>1.9464000000000001</v>
      </c>
      <c r="E29" s="27">
        <f t="shared" si="8"/>
        <v>0.13900000000000001</v>
      </c>
      <c r="F29" s="4"/>
      <c r="G29" s="8"/>
      <c r="K29" s="16" t="s">
        <v>18</v>
      </c>
      <c r="L29" s="16" t="s">
        <v>19</v>
      </c>
      <c r="N29" s="35" t="s">
        <v>11</v>
      </c>
      <c r="O29" s="35"/>
    </row>
    <row r="30" spans="1:15" x14ac:dyDescent="0.4">
      <c r="B30" s="4"/>
      <c r="C30" s="4"/>
      <c r="D30" s="4"/>
      <c r="E30" s="4"/>
      <c r="F30" s="4"/>
      <c r="G30" s="4"/>
      <c r="K30" s="25">
        <f t="shared" ref="K30:L30" si="9">ROUNDUP(K19,3)</f>
        <v>4.0000000000000001E-3</v>
      </c>
      <c r="L30" s="25">
        <f t="shared" si="9"/>
        <v>5.0000000000000001E-3</v>
      </c>
      <c r="N30" s="29">
        <f>SQRT(SUM(N19:N28)/($A$28*$A$27))</f>
        <v>1.8318175552045571E-3</v>
      </c>
      <c r="O30" s="29">
        <f>SQRT(SUM(O19:O28)/($A$28*$A$27))</f>
        <v>4.1606623404346456E-3</v>
      </c>
    </row>
    <row r="31" spans="1:15" x14ac:dyDescent="0.4">
      <c r="A31" s="16" t="s">
        <v>91</v>
      </c>
      <c r="B31" s="24"/>
      <c r="C31" s="24"/>
      <c r="D31" s="25">
        <f t="shared" ref="D31:E31" si="10">TranValue(D29,3)</f>
        <v>1.946</v>
      </c>
      <c r="E31" s="25">
        <f t="shared" si="10"/>
        <v>0.13900000000000001</v>
      </c>
      <c r="F31" s="4"/>
      <c r="K31" s="16" t="s">
        <v>154</v>
      </c>
      <c r="L31" s="16" t="s">
        <v>158</v>
      </c>
    </row>
    <row r="32" spans="1:15" x14ac:dyDescent="0.4">
      <c r="K32" s="31">
        <f>K$30/D$31</f>
        <v>2.0554984583761563E-3</v>
      </c>
      <c r="L32" s="31">
        <f>L$30/E$31</f>
        <v>3.5971223021582732E-2</v>
      </c>
    </row>
    <row r="36" spans="1:12" x14ac:dyDescent="0.4">
      <c r="A36" s="1" t="s">
        <v>63</v>
      </c>
      <c r="B36" s="1" t="s">
        <v>76</v>
      </c>
      <c r="H36" s="1" t="s">
        <v>67</v>
      </c>
      <c r="I36" s="1" t="s">
        <v>68</v>
      </c>
      <c r="J36" s="1" t="s">
        <v>69</v>
      </c>
      <c r="K36" s="1" t="s">
        <v>79</v>
      </c>
      <c r="L36" s="1" t="s">
        <v>72</v>
      </c>
    </row>
    <row r="37" spans="1:12" x14ac:dyDescent="0.4">
      <c r="A37" s="1">
        <v>1</v>
      </c>
      <c r="B37" s="1">
        <f t="shared" ref="B37:B46" si="11">(B19*C19)/(B19+C19)</f>
        <v>0.13148755980861243</v>
      </c>
      <c r="H37" s="37">
        <v>4.0000000000000001E-3</v>
      </c>
      <c r="I37" s="37">
        <f>$H$19/SQRT(3)</f>
        <v>2.3094010767585032E-3</v>
      </c>
      <c r="J37" s="37">
        <v>1.06</v>
      </c>
      <c r="K37" s="37">
        <f>SQRT(($J$19*L48)^2+$I$19^2)</f>
        <v>0.68759054495470706</v>
      </c>
      <c r="L37" s="30">
        <f t="shared" ref="L37:L46" si="12">(D37-D$31)^2</f>
        <v>3.7869159999999997</v>
      </c>
    </row>
    <row r="38" spans="1:12" x14ac:dyDescent="0.4">
      <c r="A38" s="1">
        <v>2</v>
      </c>
      <c r="B38" s="1">
        <f t="shared" si="11"/>
        <v>0.12975550239234451</v>
      </c>
      <c r="H38" s="37"/>
      <c r="I38" s="37"/>
      <c r="J38" s="37"/>
      <c r="K38" s="37"/>
      <c r="L38" s="30">
        <f t="shared" si="12"/>
        <v>3.7869159999999997</v>
      </c>
    </row>
    <row r="39" spans="1:12" x14ac:dyDescent="0.4">
      <c r="A39" s="1">
        <v>3</v>
      </c>
      <c r="B39" s="1">
        <f t="shared" si="11"/>
        <v>0.10411192214111921</v>
      </c>
      <c r="H39" s="37"/>
      <c r="I39" s="37"/>
      <c r="J39" s="37"/>
      <c r="K39" s="37"/>
      <c r="L39" s="30">
        <f t="shared" si="12"/>
        <v>3.7869159999999997</v>
      </c>
    </row>
    <row r="40" spans="1:12" x14ac:dyDescent="0.4">
      <c r="A40" s="1">
        <v>4</v>
      </c>
      <c r="B40" s="1">
        <f t="shared" si="11"/>
        <v>0.12092576419213974</v>
      </c>
      <c r="H40" s="37"/>
      <c r="I40" s="37"/>
      <c r="J40" s="37"/>
      <c r="K40" s="37"/>
      <c r="L40" s="30">
        <f t="shared" si="12"/>
        <v>3.7869159999999997</v>
      </c>
    </row>
    <row r="41" spans="1:12" x14ac:dyDescent="0.4">
      <c r="A41" s="1">
        <v>5</v>
      </c>
      <c r="B41" s="1">
        <f t="shared" si="11"/>
        <v>0.12709913378248316</v>
      </c>
      <c r="H41" s="37"/>
      <c r="I41" s="37"/>
      <c r="J41" s="37"/>
      <c r="K41" s="37"/>
      <c r="L41" s="30">
        <f t="shared" si="12"/>
        <v>3.7869159999999997</v>
      </c>
    </row>
    <row r="42" spans="1:12" x14ac:dyDescent="0.4">
      <c r="A42" s="1">
        <v>6</v>
      </c>
      <c r="B42" s="1">
        <f t="shared" si="11"/>
        <v>0.130622009569378</v>
      </c>
      <c r="H42" s="37"/>
      <c r="I42" s="37"/>
      <c r="J42" s="37"/>
      <c r="K42" s="37"/>
      <c r="L42" s="30">
        <f t="shared" si="12"/>
        <v>3.7869159999999997</v>
      </c>
    </row>
    <row r="43" spans="1:12" x14ac:dyDescent="0.4">
      <c r="A43" s="1">
        <v>7</v>
      </c>
      <c r="B43" s="1">
        <f t="shared" si="11"/>
        <v>0.13927550047664441</v>
      </c>
      <c r="H43" s="37"/>
      <c r="I43" s="37"/>
      <c r="J43" s="37"/>
      <c r="K43" s="37"/>
      <c r="L43" s="30">
        <f t="shared" si="12"/>
        <v>3.7869159999999997</v>
      </c>
    </row>
    <row r="44" spans="1:12" x14ac:dyDescent="0.4">
      <c r="A44" s="1">
        <v>8</v>
      </c>
      <c r="B44" s="1">
        <f t="shared" si="11"/>
        <v>0.12888367640019149</v>
      </c>
      <c r="H44" s="37"/>
      <c r="I44" s="37"/>
      <c r="J44" s="37"/>
      <c r="K44" s="37"/>
      <c r="L44" s="30">
        <f t="shared" si="12"/>
        <v>3.7869159999999997</v>
      </c>
    </row>
    <row r="45" spans="1:12" x14ac:dyDescent="0.4">
      <c r="A45" s="1">
        <v>9</v>
      </c>
      <c r="B45" s="1">
        <f t="shared" si="11"/>
        <v>0.14700711574952563</v>
      </c>
      <c r="H45" s="37"/>
      <c r="I45" s="37"/>
      <c r="J45" s="37"/>
      <c r="K45" s="37"/>
      <c r="L45" s="30">
        <f t="shared" si="12"/>
        <v>3.7869159999999997</v>
      </c>
    </row>
    <row r="46" spans="1:12" x14ac:dyDescent="0.4">
      <c r="A46" s="1">
        <v>10</v>
      </c>
      <c r="B46" s="1">
        <f t="shared" si="11"/>
        <v>0.13754463007159901</v>
      </c>
      <c r="H46" s="37"/>
      <c r="I46" s="37"/>
      <c r="J46" s="37"/>
      <c r="K46" s="37"/>
      <c r="L46" s="30">
        <f t="shared" si="12"/>
        <v>3.7869159999999997</v>
      </c>
    </row>
    <row r="47" spans="1:12" x14ac:dyDescent="0.4">
      <c r="A47" s="1" t="s">
        <v>74</v>
      </c>
      <c r="B47" s="1">
        <f>AVERAGE(B37:B46)</f>
        <v>0.12967128145840376</v>
      </c>
      <c r="K47" s="32" t="s">
        <v>79</v>
      </c>
      <c r="L47" s="32" t="s">
        <v>73</v>
      </c>
    </row>
    <row r="48" spans="1:12" x14ac:dyDescent="0.4">
      <c r="K48" s="32">
        <f t="shared" ref="K48" si="13">ROUNDUP(K37,3)</f>
        <v>0.68800000000000006</v>
      </c>
      <c r="L48" s="32">
        <f>SQRT(SUM(L37:L46)/($A$28*$A$27))</f>
        <v>0.6486666666666665</v>
      </c>
    </row>
    <row r="49" spans="1:11" x14ac:dyDescent="0.4">
      <c r="A49" s="1" t="s">
        <v>162</v>
      </c>
      <c r="B49" s="32">
        <f>TranValue(B47,2)</f>
        <v>0.13</v>
      </c>
      <c r="K49" s="32" t="s">
        <v>163</v>
      </c>
    </row>
    <row r="50" spans="1:11" x14ac:dyDescent="0.4">
      <c r="K50" s="32">
        <f>K$30/D$31</f>
        <v>2.0554984583761563E-3</v>
      </c>
    </row>
  </sheetData>
  <mergeCells count="26">
    <mergeCell ref="A1:D1"/>
    <mergeCell ref="N2:P2"/>
    <mergeCell ref="H3:H12"/>
    <mergeCell ref="I3:I12"/>
    <mergeCell ref="J3:J12"/>
    <mergeCell ref="K3:K12"/>
    <mergeCell ref="L3:L12"/>
    <mergeCell ref="M3:M12"/>
    <mergeCell ref="A17:F17"/>
    <mergeCell ref="N18:O18"/>
    <mergeCell ref="F19:F28"/>
    <mergeCell ref="H19:H28"/>
    <mergeCell ref="I19:I28"/>
    <mergeCell ref="J19:J28"/>
    <mergeCell ref="K19:K28"/>
    <mergeCell ref="L19:L28"/>
    <mergeCell ref="R4:S4"/>
    <mergeCell ref="R9:S9"/>
    <mergeCell ref="R10:S10"/>
    <mergeCell ref="N29:O29"/>
    <mergeCell ref="N13:P13"/>
    <mergeCell ref="H37:H46"/>
    <mergeCell ref="I37:I46"/>
    <mergeCell ref="J37:J46"/>
    <mergeCell ref="K37:K46"/>
    <mergeCell ref="R6:S6"/>
  </mergeCells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T32"/>
  <sheetViews>
    <sheetView zoomScale="70" zoomScaleNormal="70" workbookViewId="0">
      <selection activeCell="S7" sqref="S7"/>
    </sheetView>
  </sheetViews>
  <sheetFormatPr defaultRowHeight="13.9" x14ac:dyDescent="0.4"/>
  <cols>
    <col min="1" max="1" width="9.06640625" style="1" bestFit="1" customWidth="1"/>
    <col min="2" max="3" width="10.265625" style="1" bestFit="1" customWidth="1"/>
    <col min="4" max="5" width="12.46484375" style="1" bestFit="1" customWidth="1"/>
    <col min="6" max="6" width="12" style="1" bestFit="1" customWidth="1"/>
    <col min="7" max="7" width="9.06640625" style="1"/>
    <col min="8" max="9" width="9.33203125" style="1" bestFit="1" customWidth="1"/>
    <col min="10" max="12" width="9.6640625" style="1" bestFit="1" customWidth="1"/>
    <col min="13" max="13" width="13" style="1" bestFit="1" customWidth="1"/>
    <col min="14" max="15" width="14.1328125" style="1" bestFit="1" customWidth="1"/>
    <col min="16" max="16" width="9.6640625" style="5" bestFit="1" customWidth="1"/>
    <col min="17" max="17" width="9.33203125" style="1" bestFit="1" customWidth="1"/>
    <col min="18" max="18" width="12.59765625" style="1" bestFit="1" customWidth="1"/>
    <col min="19" max="19" width="13" style="1" bestFit="1" customWidth="1"/>
    <col min="20" max="20" width="50.265625" style="1" bestFit="1" customWidth="1"/>
    <col min="21" max="16384" width="9.06640625" style="1"/>
  </cols>
  <sheetData>
    <row r="1" spans="1:20" x14ac:dyDescent="0.4">
      <c r="A1" s="34" t="s">
        <v>0</v>
      </c>
      <c r="B1" s="34"/>
      <c r="C1" s="34"/>
      <c r="D1" s="34"/>
      <c r="E1" s="15"/>
    </row>
    <row r="2" spans="1:20" x14ac:dyDescent="0.4">
      <c r="A2" s="1" t="s">
        <v>1</v>
      </c>
      <c r="B2" s="1" t="s">
        <v>2</v>
      </c>
      <c r="C2" s="1" t="s">
        <v>3</v>
      </c>
      <c r="D2" s="1" t="s">
        <v>4</v>
      </c>
      <c r="H2" s="1" t="s">
        <v>13</v>
      </c>
      <c r="I2" s="1" t="s">
        <v>98</v>
      </c>
      <c r="J2" s="1" t="s">
        <v>101</v>
      </c>
      <c r="K2" s="1" t="s">
        <v>15</v>
      </c>
      <c r="L2" s="1" t="s">
        <v>16</v>
      </c>
      <c r="M2" s="1" t="s">
        <v>17</v>
      </c>
      <c r="N2" s="37" t="s">
        <v>14</v>
      </c>
      <c r="O2" s="37"/>
      <c r="P2" s="37"/>
      <c r="R2" s="1" t="s">
        <v>121</v>
      </c>
      <c r="S2" s="1" t="s">
        <v>118</v>
      </c>
    </row>
    <row r="3" spans="1:20" x14ac:dyDescent="0.4">
      <c r="A3" s="1">
        <v>1</v>
      </c>
      <c r="B3" s="18">
        <v>26.04</v>
      </c>
      <c r="C3" s="18">
        <v>21.8</v>
      </c>
      <c r="D3" s="18">
        <v>49.8</v>
      </c>
      <c r="E3" s="12"/>
      <c r="H3" s="38">
        <v>0.02</v>
      </c>
      <c r="I3" s="38">
        <f>$H$3/SQRT(3)</f>
        <v>1.1547005383792516E-2</v>
      </c>
      <c r="J3" s="38">
        <v>1.06</v>
      </c>
      <c r="K3" s="36">
        <f>SQRT(($J$3*N14)^2+$I$3^2)</f>
        <v>1.5594756953683083E-2</v>
      </c>
      <c r="L3" s="36">
        <f>SQRT(($J$3*O14)^2+$I$3^2)</f>
        <v>2.6554112466600902E-2</v>
      </c>
      <c r="M3" s="36">
        <f>SQRT(($J$3*P14)^2+$I$3^2)</f>
        <v>3.2321784879207553E-2</v>
      </c>
      <c r="N3" s="2">
        <f>(B3-B$15)^2</f>
        <v>3.9999999999998294E-4</v>
      </c>
      <c r="O3" s="2">
        <f t="shared" ref="O3:O12" si="0">(C3-C$15)^2</f>
        <v>4.9000000000000397E-3</v>
      </c>
      <c r="P3" s="2">
        <f t="shared" ref="P3:P12" si="1">(D3-D$15)^2</f>
        <v>1.0000000000010231E-4</v>
      </c>
      <c r="R3" s="1">
        <f>(PI()/4)*$D$15*($B$15^2-$C$15^2)</f>
        <v>7856.4775720036887</v>
      </c>
      <c r="S3" s="1">
        <f>SQRT((($B$15^2-$C$15^2)^2)*$M$14^2+((2*$D$15*$B$15)^2)*$K$14^2+((-2*$D$15*$C$15)^2)*$L$14^2)</f>
        <v>83.859627960878086</v>
      </c>
    </row>
    <row r="4" spans="1:20" x14ac:dyDescent="0.4">
      <c r="A4" s="1">
        <v>2</v>
      </c>
      <c r="B4" s="18">
        <v>26.06</v>
      </c>
      <c r="C4" s="18">
        <v>21.84</v>
      </c>
      <c r="D4" s="18">
        <v>49.74</v>
      </c>
      <c r="E4" s="12"/>
      <c r="H4" s="38"/>
      <c r="I4" s="38"/>
      <c r="J4" s="38"/>
      <c r="K4" s="36"/>
      <c r="L4" s="36"/>
      <c r="M4" s="36"/>
      <c r="N4" s="2">
        <f t="shared" ref="N4:N12" si="2">(B4-B$15)^2</f>
        <v>0</v>
      </c>
      <c r="O4" s="2">
        <f t="shared" si="0"/>
        <v>9.0000000000006817E-4</v>
      </c>
      <c r="P4" s="2">
        <f t="shared" si="1"/>
        <v>4.9000000000000397E-3</v>
      </c>
      <c r="R4" s="34" t="s">
        <v>126</v>
      </c>
      <c r="S4" s="34"/>
    </row>
    <row r="5" spans="1:20" x14ac:dyDescent="0.4">
      <c r="A5" s="1">
        <v>3</v>
      </c>
      <c r="B5" s="18">
        <v>26.04</v>
      </c>
      <c r="C5" s="18">
        <v>21.96</v>
      </c>
      <c r="D5" s="18">
        <v>49.88</v>
      </c>
      <c r="E5" s="12"/>
      <c r="H5" s="38"/>
      <c r="I5" s="38"/>
      <c r="J5" s="38"/>
      <c r="K5" s="36"/>
      <c r="L5" s="36"/>
      <c r="M5" s="36"/>
      <c r="N5" s="2">
        <f t="shared" si="2"/>
        <v>3.9999999999998294E-4</v>
      </c>
      <c r="O5" s="2">
        <f t="shared" si="0"/>
        <v>8.0999999999999753E-3</v>
      </c>
      <c r="P5" s="2">
        <f t="shared" si="1"/>
        <v>4.9000000000000397E-3</v>
      </c>
      <c r="R5" s="1">
        <f>TranValue(R3,2)</f>
        <v>7856.48</v>
      </c>
      <c r="S5" s="1">
        <v>83.859627960878086</v>
      </c>
    </row>
    <row r="6" spans="1:20" x14ac:dyDescent="0.4">
      <c r="A6" s="1">
        <v>4</v>
      </c>
      <c r="B6" s="18">
        <v>26.1</v>
      </c>
      <c r="C6" s="18">
        <v>21.76</v>
      </c>
      <c r="D6" s="18">
        <v>49.68</v>
      </c>
      <c r="E6" s="12"/>
      <c r="H6" s="38"/>
      <c r="I6" s="38"/>
      <c r="J6" s="38"/>
      <c r="K6" s="36"/>
      <c r="L6" s="36"/>
      <c r="M6" s="36"/>
      <c r="N6" s="2">
        <f t="shared" si="2"/>
        <v>1.600000000000216E-3</v>
      </c>
      <c r="O6" s="2">
        <f t="shared" si="0"/>
        <v>1.2099999999999875E-2</v>
      </c>
      <c r="P6" s="2">
        <f t="shared" si="1"/>
        <v>1.6900000000000664E-2</v>
      </c>
      <c r="R6" s="33" t="s">
        <v>123</v>
      </c>
      <c r="S6" s="33"/>
    </row>
    <row r="7" spans="1:20" x14ac:dyDescent="0.4">
      <c r="A7" s="1">
        <v>5</v>
      </c>
      <c r="B7" s="18">
        <v>26.04</v>
      </c>
      <c r="C7" s="18">
        <v>21.9</v>
      </c>
      <c r="D7" s="18">
        <v>49.78</v>
      </c>
      <c r="E7" s="12"/>
      <c r="H7" s="38"/>
      <c r="I7" s="38"/>
      <c r="J7" s="38"/>
      <c r="K7" s="36"/>
      <c r="L7" s="36"/>
      <c r="M7" s="36"/>
      <c r="N7" s="2">
        <f t="shared" si="2"/>
        <v>3.9999999999998294E-4</v>
      </c>
      <c r="O7" s="2">
        <f t="shared" si="0"/>
        <v>8.9999999999985502E-4</v>
      </c>
      <c r="P7" s="2">
        <f t="shared" si="1"/>
        <v>9.0000000000006817E-4</v>
      </c>
      <c r="R7" s="22">
        <f>TranValue(R5,2)</f>
        <v>7856.48</v>
      </c>
      <c r="S7" s="16">
        <v>83.859627960878086</v>
      </c>
      <c r="T7" s="16" t="s">
        <v>160</v>
      </c>
    </row>
    <row r="8" spans="1:20" x14ac:dyDescent="0.4">
      <c r="A8" s="1">
        <v>6</v>
      </c>
      <c r="B8" s="18">
        <v>26.1</v>
      </c>
      <c r="C8" s="18">
        <v>21.96</v>
      </c>
      <c r="D8" s="18">
        <v>49.78</v>
      </c>
      <c r="E8" s="12"/>
      <c r="H8" s="38"/>
      <c r="I8" s="38"/>
      <c r="J8" s="38"/>
      <c r="K8" s="36"/>
      <c r="L8" s="36"/>
      <c r="M8" s="36"/>
      <c r="N8" s="2">
        <f t="shared" si="2"/>
        <v>1.600000000000216E-3</v>
      </c>
      <c r="O8" s="2">
        <f t="shared" si="0"/>
        <v>8.0999999999999753E-3</v>
      </c>
      <c r="P8" s="2">
        <f t="shared" si="1"/>
        <v>9.0000000000006817E-4</v>
      </c>
    </row>
    <row r="9" spans="1:20" x14ac:dyDescent="0.4">
      <c r="A9" s="1">
        <v>7</v>
      </c>
      <c r="B9" s="18">
        <v>26.04</v>
      </c>
      <c r="C9" s="18">
        <v>21.94</v>
      </c>
      <c r="D9" s="18">
        <v>49.74</v>
      </c>
      <c r="E9" s="12"/>
      <c r="H9" s="38"/>
      <c r="I9" s="38"/>
      <c r="J9" s="38"/>
      <c r="K9" s="36"/>
      <c r="L9" s="36"/>
      <c r="M9" s="36"/>
      <c r="N9" s="2">
        <f t="shared" si="2"/>
        <v>3.9999999999998294E-4</v>
      </c>
      <c r="O9" s="2">
        <f t="shared" si="0"/>
        <v>4.9000000000000397E-3</v>
      </c>
      <c r="P9" s="2">
        <f t="shared" si="1"/>
        <v>4.9000000000000397E-3</v>
      </c>
      <c r="R9" s="33" t="s">
        <v>133</v>
      </c>
      <c r="S9" s="33"/>
    </row>
    <row r="10" spans="1:20" x14ac:dyDescent="0.4">
      <c r="A10" s="1">
        <v>8</v>
      </c>
      <c r="B10" s="18">
        <v>26.08</v>
      </c>
      <c r="C10" s="18">
        <v>21.92</v>
      </c>
      <c r="D10" s="18">
        <v>49.94</v>
      </c>
      <c r="E10" s="12"/>
      <c r="H10" s="38"/>
      <c r="I10" s="38"/>
      <c r="J10" s="38"/>
      <c r="K10" s="36"/>
      <c r="L10" s="36"/>
      <c r="M10" s="36"/>
      <c r="N10" s="2">
        <f t="shared" si="2"/>
        <v>3.9999999999998294E-4</v>
      </c>
      <c r="O10" s="2">
        <f t="shared" si="0"/>
        <v>2.5000000000000712E-3</v>
      </c>
      <c r="P10" s="2">
        <f t="shared" si="1"/>
        <v>1.6899999999998819E-2</v>
      </c>
      <c r="R10" s="33">
        <v>0.68300000000000005</v>
      </c>
      <c r="S10" s="33"/>
    </row>
    <row r="11" spans="1:20" x14ac:dyDescent="0.4">
      <c r="A11" s="1">
        <v>9</v>
      </c>
      <c r="B11" s="18">
        <v>26.06</v>
      </c>
      <c r="C11" s="18">
        <v>21.82</v>
      </c>
      <c r="D11" s="18">
        <v>49.82</v>
      </c>
      <c r="E11" s="12"/>
      <c r="H11" s="38"/>
      <c r="I11" s="38"/>
      <c r="J11" s="38"/>
      <c r="K11" s="36"/>
      <c r="L11" s="36"/>
      <c r="M11" s="36"/>
      <c r="N11" s="2">
        <f t="shared" si="2"/>
        <v>0</v>
      </c>
      <c r="O11" s="2">
        <f t="shared" si="0"/>
        <v>2.5000000000000712E-3</v>
      </c>
      <c r="P11" s="2">
        <f t="shared" si="1"/>
        <v>9.9999999999960215E-5</v>
      </c>
    </row>
    <row r="12" spans="1:20" x14ac:dyDescent="0.4">
      <c r="A12" s="1">
        <v>10</v>
      </c>
      <c r="B12" s="18">
        <v>26</v>
      </c>
      <c r="C12" s="18">
        <v>21.84</v>
      </c>
      <c r="D12" s="18">
        <v>49.96</v>
      </c>
      <c r="E12" s="12"/>
      <c r="H12" s="38"/>
      <c r="I12" s="38"/>
      <c r="J12" s="38"/>
      <c r="K12" s="36"/>
      <c r="L12" s="36"/>
      <c r="M12" s="36"/>
      <c r="N12" s="2">
        <f t="shared" si="2"/>
        <v>3.5999999999998464E-3</v>
      </c>
      <c r="O12" s="2">
        <f t="shared" si="0"/>
        <v>9.0000000000006817E-4</v>
      </c>
      <c r="P12" s="2">
        <f t="shared" si="1"/>
        <v>2.2499999999999572E-2</v>
      </c>
    </row>
    <row r="13" spans="1:20" x14ac:dyDescent="0.4">
      <c r="A13" s="1" t="s">
        <v>5</v>
      </c>
      <c r="B13" s="19">
        <f>AVERAGE(B3:B12)</f>
        <v>26.055999999999994</v>
      </c>
      <c r="C13" s="19">
        <f>AVERAGE(C3:C12)</f>
        <v>21.873999999999999</v>
      </c>
      <c r="D13" s="19">
        <f>AVERAGE(D3:D12)</f>
        <v>49.811999999999998</v>
      </c>
      <c r="E13" s="5"/>
      <c r="H13" s="3"/>
      <c r="I13" s="3"/>
      <c r="J13" s="3"/>
      <c r="K13" s="16" t="s">
        <v>106</v>
      </c>
      <c r="L13" s="16" t="s">
        <v>109</v>
      </c>
      <c r="M13" s="16" t="s">
        <v>17</v>
      </c>
      <c r="N13" s="35" t="s">
        <v>138</v>
      </c>
      <c r="O13" s="35"/>
      <c r="P13" s="35"/>
    </row>
    <row r="14" spans="1:20" x14ac:dyDescent="0.4">
      <c r="E14" s="5"/>
      <c r="I14" s="9"/>
      <c r="K14" s="28">
        <f>ROUNDUP(K3,2)</f>
        <v>0.02</v>
      </c>
      <c r="L14" s="28">
        <f t="shared" ref="L14:M14" si="3">ROUNDUP(L3,2)</f>
        <v>0.03</v>
      </c>
      <c r="M14" s="28">
        <f t="shared" si="3"/>
        <v>0.04</v>
      </c>
      <c r="N14" s="29">
        <f>SQRT(SUM(N3:N12)/($A$12*$A$11))</f>
        <v>9.8882646494609927E-3</v>
      </c>
      <c r="O14" s="29">
        <f t="shared" ref="O14:P14" si="4">SQRT(SUM(O3:O12)/($A$12*$A$11))</f>
        <v>2.2558565754251515E-2</v>
      </c>
      <c r="P14" s="29">
        <f t="shared" si="4"/>
        <v>2.8480012484391647E-2</v>
      </c>
    </row>
    <row r="15" spans="1:20" x14ac:dyDescent="0.4">
      <c r="A15" s="16" t="s">
        <v>92</v>
      </c>
      <c r="B15" s="20">
        <f>TranValue(B13,2)</f>
        <v>26.06</v>
      </c>
      <c r="C15" s="20">
        <f>TranValue(C13,2)</f>
        <v>21.87</v>
      </c>
      <c r="D15" s="20">
        <f>TranValue(D13,2)</f>
        <v>49.81</v>
      </c>
      <c r="E15" s="5"/>
      <c r="F15" s="5"/>
      <c r="G15" s="5"/>
      <c r="H15" s="5"/>
      <c r="I15" s="5"/>
      <c r="K15" s="16" t="s">
        <v>140</v>
      </c>
      <c r="L15" s="16" t="s">
        <v>145</v>
      </c>
      <c r="M15" s="16" t="s">
        <v>152</v>
      </c>
    </row>
    <row r="16" spans="1:20" x14ac:dyDescent="0.4">
      <c r="K16" s="31">
        <f>K$14/B$15</f>
        <v>7.6745970836531092E-4</v>
      </c>
      <c r="L16" s="31">
        <f t="shared" ref="L16:M16" si="5">L$14/C$15</f>
        <v>1.3717421124828531E-3</v>
      </c>
      <c r="M16" s="31">
        <f t="shared" si="5"/>
        <v>8.0305159606504719E-4</v>
      </c>
    </row>
    <row r="17" spans="1:15" x14ac:dyDescent="0.4">
      <c r="A17" s="34" t="s">
        <v>6</v>
      </c>
      <c r="B17" s="34"/>
      <c r="C17" s="34"/>
      <c r="D17" s="34"/>
      <c r="E17" s="34"/>
      <c r="F17" s="34"/>
    </row>
    <row r="18" spans="1:15" x14ac:dyDescent="0.4">
      <c r="A18" s="1" t="s">
        <v>1</v>
      </c>
      <c r="B18" s="1" t="s">
        <v>20</v>
      </c>
      <c r="C18" s="1" t="s">
        <v>21</v>
      </c>
      <c r="D18" s="1" t="s">
        <v>9</v>
      </c>
      <c r="E18" s="1" t="s">
        <v>86</v>
      </c>
      <c r="F18" s="1" t="s">
        <v>82</v>
      </c>
      <c r="H18" s="1" t="s">
        <v>13</v>
      </c>
      <c r="I18" s="1" t="s">
        <v>10</v>
      </c>
      <c r="J18" s="1" t="s">
        <v>12</v>
      </c>
      <c r="K18" s="1" t="s">
        <v>18</v>
      </c>
      <c r="L18" s="1" t="s">
        <v>19</v>
      </c>
      <c r="N18" s="37" t="s">
        <v>14</v>
      </c>
      <c r="O18" s="37"/>
    </row>
    <row r="19" spans="1:15" x14ac:dyDescent="0.4">
      <c r="A19" s="1">
        <v>1</v>
      </c>
      <c r="B19" s="23">
        <v>1.524</v>
      </c>
      <c r="C19" s="23">
        <v>0.21199999999999999</v>
      </c>
      <c r="D19" s="24">
        <f>B19-$F$19</f>
        <v>1.4770000000000001</v>
      </c>
      <c r="E19" s="24">
        <f>C19-$F$19</f>
        <v>0.16499999999999998</v>
      </c>
      <c r="F19" s="39">
        <v>4.7E-2</v>
      </c>
      <c r="H19" s="38">
        <v>4.0000000000000001E-3</v>
      </c>
      <c r="I19" s="38">
        <f>$H$19/SQRT(3)</f>
        <v>2.3094010767585032E-3</v>
      </c>
      <c r="J19" s="38">
        <v>1.06</v>
      </c>
      <c r="K19" s="36">
        <f>SQRT(($J$19*N30)^2+$I$19^2)</f>
        <v>3.7329767686868228E-3</v>
      </c>
      <c r="L19" s="36">
        <f>SQRT(($J$19*O30)^2+$I$19^2)</f>
        <v>2.4964401321348234E-3</v>
      </c>
      <c r="N19" s="6">
        <f>(D19-D$31)^2</f>
        <v>4.8999999999998535E-5</v>
      </c>
      <c r="O19" s="6">
        <f>(E19-E$31)^2</f>
        <v>4.9000000000000087E-5</v>
      </c>
    </row>
    <row r="20" spans="1:15" x14ac:dyDescent="0.4">
      <c r="A20" s="1">
        <v>2</v>
      </c>
      <c r="B20" s="23">
        <v>1.5309999999999999</v>
      </c>
      <c r="C20" s="23">
        <v>0.219</v>
      </c>
      <c r="D20" s="24">
        <f t="shared" ref="D20:E28" si="6">B20-$F$19</f>
        <v>1.484</v>
      </c>
      <c r="E20" s="24">
        <f t="shared" si="6"/>
        <v>0.17199999999999999</v>
      </c>
      <c r="F20" s="39"/>
      <c r="H20" s="38"/>
      <c r="I20" s="38"/>
      <c r="J20" s="38"/>
      <c r="K20" s="36"/>
      <c r="L20" s="36"/>
      <c r="N20" s="6">
        <f t="shared" ref="N20:O28" si="7">(D20-D$31)^2</f>
        <v>0</v>
      </c>
      <c r="O20" s="6">
        <f t="shared" si="7"/>
        <v>0</v>
      </c>
    </row>
    <row r="21" spans="1:15" x14ac:dyDescent="0.4">
      <c r="A21" s="1">
        <v>3</v>
      </c>
      <c r="B21" s="23">
        <v>1.5509999999999999</v>
      </c>
      <c r="C21" s="23">
        <v>0.22</v>
      </c>
      <c r="D21" s="24">
        <f t="shared" si="6"/>
        <v>1.504</v>
      </c>
      <c r="E21" s="24">
        <f t="shared" si="6"/>
        <v>0.17299999999999999</v>
      </c>
      <c r="F21" s="39"/>
      <c r="H21" s="38"/>
      <c r="I21" s="38"/>
      <c r="J21" s="38"/>
      <c r="K21" s="36"/>
      <c r="L21" s="36"/>
      <c r="N21" s="6">
        <f t="shared" si="7"/>
        <v>4.0000000000000072E-4</v>
      </c>
      <c r="O21" s="6">
        <f t="shared" si="7"/>
        <v>1.0000000000000019E-6</v>
      </c>
    </row>
    <row r="22" spans="1:15" x14ac:dyDescent="0.4">
      <c r="A22" s="1">
        <v>4</v>
      </c>
      <c r="B22" s="23">
        <v>1.5349999999999999</v>
      </c>
      <c r="C22" s="23">
        <v>0.22</v>
      </c>
      <c r="D22" s="24">
        <f t="shared" si="6"/>
        <v>1.488</v>
      </c>
      <c r="E22" s="24">
        <f t="shared" si="6"/>
        <v>0.17299999999999999</v>
      </c>
      <c r="F22" s="39"/>
      <c r="H22" s="38"/>
      <c r="I22" s="38"/>
      <c r="J22" s="38"/>
      <c r="K22" s="36"/>
      <c r="L22" s="36"/>
      <c r="N22" s="6">
        <f t="shared" si="7"/>
        <v>1.600000000000003E-5</v>
      </c>
      <c r="O22" s="6">
        <f t="shared" si="7"/>
        <v>1.0000000000000019E-6</v>
      </c>
    </row>
    <row r="23" spans="1:15" x14ac:dyDescent="0.4">
      <c r="A23" s="1">
        <v>5</v>
      </c>
      <c r="B23" s="23">
        <v>1.526</v>
      </c>
      <c r="C23" s="23">
        <v>0.219</v>
      </c>
      <c r="D23" s="24">
        <f t="shared" si="6"/>
        <v>1.4790000000000001</v>
      </c>
      <c r="E23" s="24">
        <f t="shared" si="6"/>
        <v>0.17199999999999999</v>
      </c>
      <c r="F23" s="39"/>
      <c r="H23" s="38"/>
      <c r="I23" s="38"/>
      <c r="J23" s="38"/>
      <c r="K23" s="36"/>
      <c r="L23" s="36"/>
      <c r="N23" s="6">
        <f t="shared" si="7"/>
        <v>2.4999999999998934E-5</v>
      </c>
      <c r="O23" s="6">
        <f t="shared" si="7"/>
        <v>0</v>
      </c>
    </row>
    <row r="24" spans="1:15" x14ac:dyDescent="0.4">
      <c r="A24" s="1">
        <v>6</v>
      </c>
      <c r="B24" s="23">
        <v>1.538</v>
      </c>
      <c r="C24" s="23">
        <v>0.221</v>
      </c>
      <c r="D24" s="24">
        <f t="shared" si="6"/>
        <v>1.4910000000000001</v>
      </c>
      <c r="E24" s="24">
        <f t="shared" si="6"/>
        <v>0.17399999999999999</v>
      </c>
      <c r="F24" s="39"/>
      <c r="H24" s="38"/>
      <c r="I24" s="38"/>
      <c r="J24" s="38"/>
      <c r="K24" s="36"/>
      <c r="L24" s="36"/>
      <c r="N24" s="6">
        <f t="shared" si="7"/>
        <v>4.9000000000001638E-5</v>
      </c>
      <c r="O24" s="6">
        <f t="shared" si="7"/>
        <v>4.0000000000000074E-6</v>
      </c>
    </row>
    <row r="25" spans="1:15" x14ac:dyDescent="0.4">
      <c r="A25" s="1">
        <v>7</v>
      </c>
      <c r="B25" s="23">
        <v>1.526</v>
      </c>
      <c r="C25" s="23">
        <v>0.219</v>
      </c>
      <c r="D25" s="24">
        <f t="shared" si="6"/>
        <v>1.4790000000000001</v>
      </c>
      <c r="E25" s="24">
        <f t="shared" si="6"/>
        <v>0.17199999999999999</v>
      </c>
      <c r="F25" s="39"/>
      <c r="H25" s="38"/>
      <c r="I25" s="38"/>
      <c r="J25" s="38"/>
      <c r="K25" s="36"/>
      <c r="L25" s="36"/>
      <c r="N25" s="6">
        <f t="shared" si="7"/>
        <v>2.4999999999998934E-5</v>
      </c>
      <c r="O25" s="6">
        <f t="shared" si="7"/>
        <v>0</v>
      </c>
    </row>
    <row r="26" spans="1:15" x14ac:dyDescent="0.4">
      <c r="A26" s="1">
        <v>8</v>
      </c>
      <c r="B26" s="23">
        <v>1.5289999999999999</v>
      </c>
      <c r="C26" s="23">
        <v>0.223</v>
      </c>
      <c r="D26" s="24">
        <f t="shared" si="6"/>
        <v>1.482</v>
      </c>
      <c r="E26" s="24">
        <f t="shared" si="6"/>
        <v>0.17599999999999999</v>
      </c>
      <c r="F26" s="39"/>
      <c r="H26" s="38"/>
      <c r="I26" s="38"/>
      <c r="J26" s="38"/>
      <c r="K26" s="36"/>
      <c r="L26" s="36"/>
      <c r="N26" s="6">
        <f t="shared" si="7"/>
        <v>4.0000000000000074E-6</v>
      </c>
      <c r="O26" s="6">
        <f t="shared" si="7"/>
        <v>1.600000000000003E-5</v>
      </c>
    </row>
    <row r="27" spans="1:15" x14ac:dyDescent="0.4">
      <c r="A27" s="1">
        <v>9</v>
      </c>
      <c r="B27" s="23">
        <v>1.5309999999999999</v>
      </c>
      <c r="C27" s="23">
        <v>0.219</v>
      </c>
      <c r="D27" s="24">
        <f t="shared" si="6"/>
        <v>1.484</v>
      </c>
      <c r="E27" s="24">
        <f t="shared" si="6"/>
        <v>0.17199999999999999</v>
      </c>
      <c r="F27" s="39"/>
      <c r="H27" s="38"/>
      <c r="I27" s="38"/>
      <c r="J27" s="38"/>
      <c r="K27" s="36"/>
      <c r="L27" s="36"/>
      <c r="N27" s="6">
        <f t="shared" si="7"/>
        <v>0</v>
      </c>
      <c r="O27" s="6">
        <f t="shared" si="7"/>
        <v>0</v>
      </c>
    </row>
    <row r="28" spans="1:15" x14ac:dyDescent="0.4">
      <c r="A28" s="1">
        <v>10</v>
      </c>
      <c r="B28" s="23">
        <v>1.52</v>
      </c>
      <c r="C28" s="23">
        <v>0.22</v>
      </c>
      <c r="D28" s="24">
        <f t="shared" si="6"/>
        <v>1.4730000000000001</v>
      </c>
      <c r="E28" s="24">
        <f t="shared" si="6"/>
        <v>0.17299999999999999</v>
      </c>
      <c r="F28" s="39"/>
      <c r="H28" s="38"/>
      <c r="I28" s="38"/>
      <c r="J28" s="38"/>
      <c r="K28" s="36"/>
      <c r="L28" s="36"/>
      <c r="N28" s="6">
        <f t="shared" si="7"/>
        <v>1.2099999999999778E-4</v>
      </c>
      <c r="O28" s="6">
        <f t="shared" si="7"/>
        <v>1.0000000000000019E-6</v>
      </c>
    </row>
    <row r="29" spans="1:15" x14ac:dyDescent="0.4">
      <c r="A29" s="1" t="s">
        <v>5</v>
      </c>
      <c r="B29" s="27">
        <f>AVERAGE(B19:B28)</f>
        <v>1.5310999999999999</v>
      </c>
      <c r="C29" s="27">
        <f t="shared" ref="C29:E29" si="8">AVERAGE(C19:C28)</f>
        <v>0.21920000000000006</v>
      </c>
      <c r="D29" s="27">
        <f t="shared" si="8"/>
        <v>1.4841000000000002</v>
      </c>
      <c r="E29" s="27">
        <f t="shared" si="8"/>
        <v>0.17219999999999996</v>
      </c>
      <c r="F29" s="4"/>
      <c r="G29" s="14"/>
      <c r="K29" s="16" t="s">
        <v>18</v>
      </c>
      <c r="L29" s="16" t="s">
        <v>19</v>
      </c>
      <c r="N29" s="35" t="s">
        <v>11</v>
      </c>
      <c r="O29" s="35"/>
    </row>
    <row r="30" spans="1:15" x14ac:dyDescent="0.4">
      <c r="B30" s="4"/>
      <c r="C30" s="4"/>
      <c r="D30" s="4"/>
      <c r="E30" s="4"/>
      <c r="F30" s="4"/>
      <c r="G30" s="4"/>
      <c r="K30" s="25">
        <f t="shared" ref="K30:L30" si="9">ROUNDUP(K19,3)</f>
        <v>4.0000000000000001E-3</v>
      </c>
      <c r="L30" s="25">
        <f t="shared" si="9"/>
        <v>3.0000000000000001E-3</v>
      </c>
      <c r="N30" s="29">
        <f>SQRT(SUM(N19:N28)/($A$28*$A$27))</f>
        <v>2.7668674625929441E-3</v>
      </c>
      <c r="O30" s="29">
        <f>SQRT(SUM(O19:O28)/($A$28*$A$27))</f>
        <v>8.9442719099991667E-4</v>
      </c>
    </row>
    <row r="31" spans="1:15" x14ac:dyDescent="0.4">
      <c r="A31" s="16" t="s">
        <v>92</v>
      </c>
      <c r="B31" s="24"/>
      <c r="C31" s="24"/>
      <c r="D31" s="25">
        <f t="shared" ref="D31:E31" si="10">TranValue(D29,3)</f>
        <v>1.484</v>
      </c>
      <c r="E31" s="25">
        <f t="shared" si="10"/>
        <v>0.17199999999999999</v>
      </c>
      <c r="F31" s="4"/>
      <c r="K31" s="16" t="s">
        <v>154</v>
      </c>
      <c r="L31" s="16" t="s">
        <v>157</v>
      </c>
    </row>
    <row r="32" spans="1:15" x14ac:dyDescent="0.4">
      <c r="K32" s="31">
        <f>K$30/D$31</f>
        <v>2.6954177897574125E-3</v>
      </c>
      <c r="L32" s="31">
        <f>L$30/E$31</f>
        <v>1.7441860465116282E-2</v>
      </c>
    </row>
  </sheetData>
  <mergeCells count="22">
    <mergeCell ref="A1:D1"/>
    <mergeCell ref="N2:P2"/>
    <mergeCell ref="H3:H12"/>
    <mergeCell ref="I3:I12"/>
    <mergeCell ref="J3:J12"/>
    <mergeCell ref="K3:K12"/>
    <mergeCell ref="L3:L12"/>
    <mergeCell ref="M3:M12"/>
    <mergeCell ref="A17:F17"/>
    <mergeCell ref="N18:O18"/>
    <mergeCell ref="F19:F28"/>
    <mergeCell ref="H19:H28"/>
    <mergeCell ref="I19:I28"/>
    <mergeCell ref="J19:J28"/>
    <mergeCell ref="K19:K28"/>
    <mergeCell ref="N29:O29"/>
    <mergeCell ref="L19:L28"/>
    <mergeCell ref="R6:S6"/>
    <mergeCell ref="R4:S4"/>
    <mergeCell ref="R9:S9"/>
    <mergeCell ref="R10:S10"/>
    <mergeCell ref="N13:P13"/>
  </mergeCells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32"/>
  <sheetViews>
    <sheetView zoomScale="70" zoomScaleNormal="70" workbookViewId="0">
      <selection activeCell="S7" sqref="S7"/>
    </sheetView>
  </sheetViews>
  <sheetFormatPr defaultColWidth="9.1328125" defaultRowHeight="13.9" x14ac:dyDescent="0.4"/>
  <cols>
    <col min="1" max="1" width="9.06640625" style="1" bestFit="1" customWidth="1"/>
    <col min="2" max="3" width="10.265625" style="1" bestFit="1" customWidth="1"/>
    <col min="4" max="5" width="12.46484375" style="1" bestFit="1" customWidth="1"/>
    <col min="6" max="6" width="12" style="1" bestFit="1" customWidth="1"/>
    <col min="7" max="7" width="9.1328125" style="1"/>
    <col min="8" max="9" width="9.33203125" style="1" bestFit="1" customWidth="1"/>
    <col min="10" max="12" width="9.6640625" style="1" bestFit="1" customWidth="1"/>
    <col min="13" max="13" width="11.86328125" style="1" bestFit="1" customWidth="1"/>
    <col min="14" max="15" width="14.1328125" style="1" bestFit="1" customWidth="1"/>
    <col min="16" max="16" width="9.6640625" style="5" bestFit="1" customWidth="1"/>
    <col min="17" max="17" width="9.33203125" style="1" bestFit="1" customWidth="1"/>
    <col min="18" max="18" width="11.53125" style="1" bestFit="1" customWidth="1"/>
    <col min="19" max="19" width="13" style="1" bestFit="1" customWidth="1"/>
    <col min="20" max="20" width="50.265625" style="1" bestFit="1" customWidth="1"/>
    <col min="21" max="16384" width="9.1328125" style="1"/>
  </cols>
  <sheetData>
    <row r="1" spans="1:20" x14ac:dyDescent="0.4">
      <c r="A1" s="34" t="s">
        <v>23</v>
      </c>
      <c r="B1" s="34"/>
      <c r="C1" s="34"/>
      <c r="D1" s="34"/>
      <c r="E1" s="15"/>
    </row>
    <row r="2" spans="1:20" x14ac:dyDescent="0.4">
      <c r="A2" s="1" t="s">
        <v>24</v>
      </c>
      <c r="B2" s="1" t="s">
        <v>25</v>
      </c>
      <c r="C2" s="1" t="s">
        <v>26</v>
      </c>
      <c r="D2" s="1" t="s">
        <v>27</v>
      </c>
      <c r="H2" s="1" t="s">
        <v>13</v>
      </c>
      <c r="I2" s="1" t="s">
        <v>96</v>
      </c>
      <c r="J2" s="1" t="s">
        <v>101</v>
      </c>
      <c r="K2" s="1" t="s">
        <v>102</v>
      </c>
      <c r="L2" s="1" t="s">
        <v>30</v>
      </c>
      <c r="M2" s="1" t="s">
        <v>32</v>
      </c>
      <c r="N2" s="37" t="s">
        <v>33</v>
      </c>
      <c r="O2" s="37"/>
      <c r="P2" s="37"/>
      <c r="R2" s="1" t="s">
        <v>119</v>
      </c>
      <c r="S2" s="1" t="s">
        <v>118</v>
      </c>
    </row>
    <row r="3" spans="1:20" x14ac:dyDescent="0.4">
      <c r="A3" s="1">
        <v>1</v>
      </c>
      <c r="B3" s="18">
        <v>26</v>
      </c>
      <c r="C3" s="18">
        <v>21.7</v>
      </c>
      <c r="D3" s="18">
        <v>49.9</v>
      </c>
      <c r="E3" s="12"/>
      <c r="H3" s="38">
        <v>0.02</v>
      </c>
      <c r="I3" s="38">
        <f>$H$3/SQRT(3)</f>
        <v>1.1547005383792516E-2</v>
      </c>
      <c r="J3" s="38">
        <v>1.06</v>
      </c>
      <c r="K3" s="36">
        <f>SQRT(($J$3*N14)^2+$I$3^2)</f>
        <v>1.1547005383792516E-2</v>
      </c>
      <c r="L3" s="36">
        <f>SQRT(($J$3*O14)^2+$I$3^2)</f>
        <v>1.8250601207753021E-2</v>
      </c>
      <c r="M3" s="36">
        <f>SQRT(($J$3*P14)^2+$I$3^2)</f>
        <v>1.8284772049136599E-2</v>
      </c>
      <c r="N3" s="2">
        <f>(B3-B$15)^2</f>
        <v>0</v>
      </c>
      <c r="O3" s="2">
        <f t="shared" ref="O3:O12" si="0">(C3-C$15)^2</f>
        <v>3.9999999999998294E-4</v>
      </c>
      <c r="P3" s="2">
        <f t="shared" ref="P3:P12" si="1">(D3-D$15)^2</f>
        <v>3.6000000000002727E-3</v>
      </c>
      <c r="R3" s="1">
        <f>(PI()/4)*$D$15*($B$15^2-$C$15^2)</f>
        <v>8082.2504599010717</v>
      </c>
      <c r="S3" s="1">
        <f>SQRT((($B$15^2-$C$15^2)^2)*$M$14^2+((2*$D$15*$B$15)^2)*$K$14^2+((-2*$D$15*$C$15)^2)*$L$14^2)</f>
        <v>67.777051419621742</v>
      </c>
    </row>
    <row r="4" spans="1:20" x14ac:dyDescent="0.4">
      <c r="A4" s="1">
        <v>2</v>
      </c>
      <c r="B4" s="18">
        <v>26</v>
      </c>
      <c r="C4" s="18">
        <v>21.7</v>
      </c>
      <c r="D4" s="18">
        <v>49.9</v>
      </c>
      <c r="E4" s="12"/>
      <c r="H4" s="38"/>
      <c r="I4" s="38"/>
      <c r="J4" s="38"/>
      <c r="K4" s="36"/>
      <c r="L4" s="36"/>
      <c r="M4" s="36"/>
      <c r="N4" s="2">
        <f t="shared" ref="N4:N12" si="2">(B4-B$15)^2</f>
        <v>0</v>
      </c>
      <c r="O4" s="2">
        <f t="shared" si="0"/>
        <v>3.9999999999998294E-4</v>
      </c>
      <c r="P4" s="2">
        <f t="shared" si="1"/>
        <v>3.6000000000002727E-3</v>
      </c>
      <c r="R4" s="34" t="s">
        <v>127</v>
      </c>
      <c r="S4" s="34"/>
    </row>
    <row r="5" spans="1:20" x14ac:dyDescent="0.4">
      <c r="A5" s="1">
        <v>3</v>
      </c>
      <c r="B5" s="18">
        <v>26</v>
      </c>
      <c r="C5" s="18">
        <v>21.6</v>
      </c>
      <c r="D5" s="18">
        <v>50</v>
      </c>
      <c r="E5" s="12"/>
      <c r="H5" s="38"/>
      <c r="I5" s="38"/>
      <c r="J5" s="38"/>
      <c r="K5" s="36"/>
      <c r="L5" s="36"/>
      <c r="M5" s="36"/>
      <c r="N5" s="2">
        <f t="shared" si="2"/>
        <v>0</v>
      </c>
      <c r="O5" s="2">
        <f t="shared" si="0"/>
        <v>6.3999999999997271E-3</v>
      </c>
      <c r="P5" s="2">
        <f t="shared" si="1"/>
        <v>1.5999999999999318E-3</v>
      </c>
      <c r="R5" s="1">
        <f>TranValue(R3,2)</f>
        <v>8082.25</v>
      </c>
      <c r="S5" s="1">
        <v>67.777051419621742</v>
      </c>
    </row>
    <row r="6" spans="1:20" x14ac:dyDescent="0.4">
      <c r="A6" s="1">
        <v>4</v>
      </c>
      <c r="B6" s="18">
        <v>26</v>
      </c>
      <c r="C6" s="18">
        <v>21.7</v>
      </c>
      <c r="D6" s="18">
        <v>49.92</v>
      </c>
      <c r="E6" s="12"/>
      <c r="H6" s="38"/>
      <c r="I6" s="38"/>
      <c r="J6" s="38"/>
      <c r="K6" s="36"/>
      <c r="L6" s="36"/>
      <c r="M6" s="36"/>
      <c r="N6" s="2">
        <f t="shared" si="2"/>
        <v>0</v>
      </c>
      <c r="O6" s="2">
        <f t="shared" si="0"/>
        <v>3.9999999999998294E-4</v>
      </c>
      <c r="P6" s="2">
        <f t="shared" si="1"/>
        <v>1.5999999999999318E-3</v>
      </c>
      <c r="R6" s="33" t="s">
        <v>125</v>
      </c>
      <c r="S6" s="33"/>
    </row>
    <row r="7" spans="1:20" x14ac:dyDescent="0.4">
      <c r="A7" s="1">
        <v>5</v>
      </c>
      <c r="B7" s="18">
        <v>26</v>
      </c>
      <c r="C7" s="18">
        <v>21.7</v>
      </c>
      <c r="D7" s="18">
        <v>49.98</v>
      </c>
      <c r="E7" s="12"/>
      <c r="H7" s="38"/>
      <c r="I7" s="38"/>
      <c r="J7" s="38"/>
      <c r="K7" s="36"/>
      <c r="L7" s="36"/>
      <c r="M7" s="36"/>
      <c r="N7" s="2">
        <f t="shared" si="2"/>
        <v>0</v>
      </c>
      <c r="O7" s="2">
        <f t="shared" si="0"/>
        <v>3.9999999999998294E-4</v>
      </c>
      <c r="P7" s="2">
        <f t="shared" si="1"/>
        <v>3.9999999999984086E-4</v>
      </c>
      <c r="R7" s="22">
        <f>TranValue(R5,2)</f>
        <v>8082.25</v>
      </c>
      <c r="S7" s="16">
        <v>67.777051419621742</v>
      </c>
      <c r="T7" s="16" t="s">
        <v>161</v>
      </c>
    </row>
    <row r="8" spans="1:20" x14ac:dyDescent="0.4">
      <c r="A8" s="1">
        <v>6</v>
      </c>
      <c r="B8" s="18">
        <v>26</v>
      </c>
      <c r="C8" s="18">
        <v>21.7</v>
      </c>
      <c r="D8" s="18">
        <v>50</v>
      </c>
      <c r="E8" s="12"/>
      <c r="H8" s="38"/>
      <c r="I8" s="38"/>
      <c r="J8" s="38"/>
      <c r="K8" s="36"/>
      <c r="L8" s="36"/>
      <c r="M8" s="36"/>
      <c r="N8" s="2">
        <f t="shared" si="2"/>
        <v>0</v>
      </c>
      <c r="O8" s="2">
        <f t="shared" si="0"/>
        <v>3.9999999999998294E-4</v>
      </c>
      <c r="P8" s="2">
        <f t="shared" si="1"/>
        <v>1.5999999999999318E-3</v>
      </c>
    </row>
    <row r="9" spans="1:20" x14ac:dyDescent="0.4">
      <c r="A9" s="1">
        <v>7</v>
      </c>
      <c r="B9" s="18">
        <v>26</v>
      </c>
      <c r="C9" s="18">
        <v>21.6</v>
      </c>
      <c r="D9" s="18">
        <v>49.92</v>
      </c>
      <c r="E9" s="12"/>
      <c r="H9" s="38"/>
      <c r="I9" s="38"/>
      <c r="J9" s="38"/>
      <c r="K9" s="36"/>
      <c r="L9" s="36"/>
      <c r="M9" s="36"/>
      <c r="N9" s="2">
        <f t="shared" si="2"/>
        <v>0</v>
      </c>
      <c r="O9" s="2">
        <f t="shared" si="0"/>
        <v>6.3999999999997271E-3</v>
      </c>
      <c r="P9" s="2">
        <f t="shared" si="1"/>
        <v>1.5999999999999318E-3</v>
      </c>
      <c r="R9" s="33" t="s">
        <v>132</v>
      </c>
      <c r="S9" s="33"/>
    </row>
    <row r="10" spans="1:20" x14ac:dyDescent="0.4">
      <c r="A10" s="1">
        <v>8</v>
      </c>
      <c r="B10" s="18">
        <v>26</v>
      </c>
      <c r="C10" s="18">
        <v>21.7</v>
      </c>
      <c r="D10" s="18">
        <v>49.98</v>
      </c>
      <c r="E10" s="12"/>
      <c r="H10" s="38"/>
      <c r="I10" s="38"/>
      <c r="J10" s="38"/>
      <c r="K10" s="36"/>
      <c r="L10" s="36"/>
      <c r="M10" s="36"/>
      <c r="N10" s="2">
        <f t="shared" si="2"/>
        <v>0</v>
      </c>
      <c r="O10" s="2">
        <f t="shared" si="0"/>
        <v>3.9999999999998294E-4</v>
      </c>
      <c r="P10" s="2">
        <f t="shared" si="1"/>
        <v>3.9999999999984086E-4</v>
      </c>
      <c r="R10" s="33">
        <v>0.68300000000000005</v>
      </c>
      <c r="S10" s="33"/>
    </row>
    <row r="11" spans="1:20" x14ac:dyDescent="0.4">
      <c r="A11" s="1">
        <v>9</v>
      </c>
      <c r="B11" s="18">
        <v>26</v>
      </c>
      <c r="C11" s="18">
        <v>21.7</v>
      </c>
      <c r="D11" s="18">
        <v>50</v>
      </c>
      <c r="E11" s="12"/>
      <c r="H11" s="38"/>
      <c r="I11" s="38"/>
      <c r="J11" s="38"/>
      <c r="K11" s="36"/>
      <c r="L11" s="36"/>
      <c r="M11" s="36"/>
      <c r="N11" s="2">
        <f t="shared" si="2"/>
        <v>0</v>
      </c>
      <c r="O11" s="2">
        <f t="shared" si="0"/>
        <v>3.9999999999998294E-4</v>
      </c>
      <c r="P11" s="2">
        <f t="shared" si="1"/>
        <v>1.5999999999999318E-3</v>
      </c>
    </row>
    <row r="12" spans="1:20" x14ac:dyDescent="0.4">
      <c r="A12" s="1">
        <v>10</v>
      </c>
      <c r="B12" s="18">
        <v>26</v>
      </c>
      <c r="C12" s="18">
        <v>21.7</v>
      </c>
      <c r="D12" s="18">
        <v>49.95</v>
      </c>
      <c r="E12" s="12"/>
      <c r="H12" s="38"/>
      <c r="I12" s="38"/>
      <c r="J12" s="38"/>
      <c r="K12" s="36"/>
      <c r="L12" s="36"/>
      <c r="M12" s="36"/>
      <c r="N12" s="2">
        <f t="shared" si="2"/>
        <v>0</v>
      </c>
      <c r="O12" s="2">
        <f t="shared" si="0"/>
        <v>3.9999999999998294E-4</v>
      </c>
      <c r="P12" s="2">
        <f t="shared" si="1"/>
        <v>9.9999999999960215E-5</v>
      </c>
    </row>
    <row r="13" spans="1:20" x14ac:dyDescent="0.4">
      <c r="A13" s="1" t="s">
        <v>36</v>
      </c>
      <c r="B13" s="19">
        <f>AVERAGE(B3:B12)</f>
        <v>26</v>
      </c>
      <c r="C13" s="19">
        <f>AVERAGE(C3:C12)</f>
        <v>21.679999999999996</v>
      </c>
      <c r="D13" s="19">
        <f>AVERAGE(D3:D12)</f>
        <v>49.955000000000005</v>
      </c>
      <c r="E13" s="5"/>
      <c r="H13" s="3"/>
      <c r="I13" s="3"/>
      <c r="J13" s="3"/>
      <c r="K13" s="16" t="s">
        <v>105</v>
      </c>
      <c r="L13" s="16" t="s">
        <v>110</v>
      </c>
      <c r="M13" s="16" t="s">
        <v>31</v>
      </c>
      <c r="N13" s="35" t="s">
        <v>135</v>
      </c>
      <c r="O13" s="35"/>
      <c r="P13" s="35"/>
    </row>
    <row r="14" spans="1:20" x14ac:dyDescent="0.4">
      <c r="E14" s="5"/>
      <c r="I14" s="9"/>
      <c r="K14" s="28">
        <f>ROUNDUP(K3,2)</f>
        <v>0.02</v>
      </c>
      <c r="L14" s="28">
        <f t="shared" ref="L14:M14" si="3">ROUNDUP(L3,2)</f>
        <v>0.02</v>
      </c>
      <c r="M14" s="28">
        <f t="shared" si="3"/>
        <v>0.02</v>
      </c>
      <c r="N14" s="29">
        <f>SQRT(SUM(N3:N12)/($A$12*$A$11))</f>
        <v>0</v>
      </c>
      <c r="O14" s="29">
        <f t="shared" ref="O14:P14" si="4">SQRT(SUM(O3:O12)/($A$12*$A$11))</f>
        <v>1.333333333333305E-2</v>
      </c>
      <c r="P14" s="29">
        <f t="shared" si="4"/>
        <v>1.3374935098492522E-2</v>
      </c>
    </row>
    <row r="15" spans="1:20" x14ac:dyDescent="0.4">
      <c r="A15" s="16" t="s">
        <v>91</v>
      </c>
      <c r="B15" s="20">
        <f>TranValue(B13,2)</f>
        <v>26</v>
      </c>
      <c r="C15" s="20">
        <f>TranValue(C13,2)</f>
        <v>21.68</v>
      </c>
      <c r="D15" s="20">
        <f>TranValue(D13,2)</f>
        <v>49.96</v>
      </c>
      <c r="E15" s="5"/>
      <c r="F15" s="5"/>
      <c r="G15" s="5"/>
      <c r="H15" s="5"/>
      <c r="I15" s="5"/>
      <c r="K15" s="16" t="s">
        <v>142</v>
      </c>
      <c r="L15" s="16" t="s">
        <v>146</v>
      </c>
      <c r="M15" s="16" t="s">
        <v>151</v>
      </c>
    </row>
    <row r="16" spans="1:20" x14ac:dyDescent="0.4">
      <c r="K16" s="31">
        <f>K$14/B$15</f>
        <v>7.6923076923076923E-4</v>
      </c>
      <c r="L16" s="31">
        <f t="shared" ref="L16:M16" si="5">L$14/C$15</f>
        <v>9.22509225092251E-4</v>
      </c>
      <c r="M16" s="31">
        <f t="shared" si="5"/>
        <v>4.00320256204964E-4</v>
      </c>
    </row>
    <row r="17" spans="1:15" x14ac:dyDescent="0.4">
      <c r="A17" s="34" t="s">
        <v>37</v>
      </c>
      <c r="B17" s="34"/>
      <c r="C17" s="34"/>
      <c r="D17" s="34"/>
      <c r="E17" s="34"/>
      <c r="F17" s="34"/>
    </row>
    <row r="18" spans="1:15" x14ac:dyDescent="0.4">
      <c r="A18" s="1" t="s">
        <v>24</v>
      </c>
      <c r="B18" s="1" t="s">
        <v>38</v>
      </c>
      <c r="C18" s="1" t="s">
        <v>39</v>
      </c>
      <c r="D18" s="1" t="s">
        <v>40</v>
      </c>
      <c r="E18" s="1" t="s">
        <v>86</v>
      </c>
      <c r="F18" s="1" t="s">
        <v>81</v>
      </c>
      <c r="H18" s="1" t="s">
        <v>28</v>
      </c>
      <c r="I18" s="1" t="s">
        <v>41</v>
      </c>
      <c r="J18" s="1" t="s">
        <v>29</v>
      </c>
      <c r="K18" s="1" t="s">
        <v>42</v>
      </c>
      <c r="L18" s="1" t="s">
        <v>43</v>
      </c>
      <c r="N18" s="37" t="s">
        <v>33</v>
      </c>
      <c r="O18" s="37"/>
    </row>
    <row r="19" spans="1:15" x14ac:dyDescent="0.4">
      <c r="A19" s="1">
        <v>1</v>
      </c>
      <c r="B19" s="23">
        <v>1.9550000000000001</v>
      </c>
      <c r="C19" s="23">
        <v>0.17399999999999999</v>
      </c>
      <c r="D19" s="24">
        <f>B19-$F$19</f>
        <v>1.9550000000000001</v>
      </c>
      <c r="E19" s="24">
        <f>C19-$F$19</f>
        <v>0.17399999999999999</v>
      </c>
      <c r="F19" s="39">
        <v>0</v>
      </c>
      <c r="H19" s="38">
        <v>4.0000000000000001E-3</v>
      </c>
      <c r="I19" s="38">
        <f>$H$19/SQRT(3)</f>
        <v>2.3094010767585032E-3</v>
      </c>
      <c r="J19" s="38">
        <v>1.06</v>
      </c>
      <c r="K19" s="36">
        <f>SQRT(($J$19*N30)^2+$I$19^2)</f>
        <v>2.8271045258355791E-3</v>
      </c>
      <c r="L19" s="36">
        <f>SQRT(($J$19*O30)^2+$I$19^2)</f>
        <v>2.5089112291102594E-3</v>
      </c>
      <c r="N19" s="6">
        <f>(D19-D$31)^2</f>
        <v>1.0000000000000018E-4</v>
      </c>
      <c r="O19" s="6">
        <f>(E19-E$31)^2</f>
        <v>1.0000000000000019E-6</v>
      </c>
    </row>
    <row r="20" spans="1:15" x14ac:dyDescent="0.4">
      <c r="A20" s="1">
        <v>2</v>
      </c>
      <c r="B20" s="23">
        <v>1.9450000000000001</v>
      </c>
      <c r="C20" s="23">
        <v>0.17299999999999999</v>
      </c>
      <c r="D20" s="24">
        <f t="shared" ref="D20:E28" si="6">B20-$F$19</f>
        <v>1.9450000000000001</v>
      </c>
      <c r="E20" s="24">
        <f t="shared" si="6"/>
        <v>0.17299999999999999</v>
      </c>
      <c r="F20" s="39"/>
      <c r="H20" s="38"/>
      <c r="I20" s="38"/>
      <c r="J20" s="38"/>
      <c r="K20" s="36"/>
      <c r="L20" s="36"/>
      <c r="N20" s="6">
        <f t="shared" ref="N20:O28" si="7">(D20-D$31)^2</f>
        <v>0</v>
      </c>
      <c r="O20" s="6">
        <f t="shared" si="7"/>
        <v>0</v>
      </c>
    </row>
    <row r="21" spans="1:15" x14ac:dyDescent="0.4">
      <c r="A21" s="1">
        <v>3</v>
      </c>
      <c r="B21" s="23">
        <v>1.9379999999999999</v>
      </c>
      <c r="C21" s="23">
        <v>0.17499999999999999</v>
      </c>
      <c r="D21" s="24">
        <f t="shared" si="6"/>
        <v>1.9379999999999999</v>
      </c>
      <c r="E21" s="24">
        <f t="shared" si="6"/>
        <v>0.17499999999999999</v>
      </c>
      <c r="F21" s="39"/>
      <c r="H21" s="38"/>
      <c r="I21" s="38"/>
      <c r="J21" s="38"/>
      <c r="K21" s="36"/>
      <c r="L21" s="36"/>
      <c r="N21" s="6">
        <f t="shared" si="7"/>
        <v>4.9000000000001638E-5</v>
      </c>
      <c r="O21" s="6">
        <f t="shared" si="7"/>
        <v>4.0000000000000074E-6</v>
      </c>
    </row>
    <row r="22" spans="1:15" x14ac:dyDescent="0.4">
      <c r="A22" s="1">
        <v>4</v>
      </c>
      <c r="B22" s="23">
        <v>1.944</v>
      </c>
      <c r="C22" s="23">
        <v>0.16500000000000001</v>
      </c>
      <c r="D22" s="24">
        <f t="shared" si="6"/>
        <v>1.944</v>
      </c>
      <c r="E22" s="24">
        <f t="shared" si="6"/>
        <v>0.16500000000000001</v>
      </c>
      <c r="F22" s="39"/>
      <c r="H22" s="38"/>
      <c r="I22" s="38"/>
      <c r="J22" s="38"/>
      <c r="K22" s="36"/>
      <c r="L22" s="36"/>
      <c r="N22" s="6">
        <f t="shared" si="7"/>
        <v>1.0000000000002238E-6</v>
      </c>
      <c r="O22" s="6">
        <f t="shared" si="7"/>
        <v>6.3999999999999672E-5</v>
      </c>
    </row>
    <row r="23" spans="1:15" x14ac:dyDescent="0.4">
      <c r="A23" s="1">
        <v>5</v>
      </c>
      <c r="B23" s="23">
        <v>1.946</v>
      </c>
      <c r="C23" s="23">
        <v>0.17199999999999999</v>
      </c>
      <c r="D23" s="24">
        <f t="shared" si="6"/>
        <v>1.946</v>
      </c>
      <c r="E23" s="24">
        <f t="shared" si="6"/>
        <v>0.17199999999999999</v>
      </c>
      <c r="F23" s="39"/>
      <c r="H23" s="38"/>
      <c r="I23" s="38"/>
      <c r="J23" s="38"/>
      <c r="K23" s="36"/>
      <c r="L23" s="36"/>
      <c r="N23" s="6">
        <f t="shared" si="7"/>
        <v>9.9999999999977973E-7</v>
      </c>
      <c r="O23" s="6">
        <f t="shared" si="7"/>
        <v>1.0000000000000019E-6</v>
      </c>
    </row>
    <row r="24" spans="1:15" x14ac:dyDescent="0.4">
      <c r="A24" s="1">
        <v>6</v>
      </c>
      <c r="B24" s="23">
        <v>1.95</v>
      </c>
      <c r="C24" s="23">
        <v>0.17199999999999999</v>
      </c>
      <c r="D24" s="24">
        <f t="shared" si="6"/>
        <v>1.95</v>
      </c>
      <c r="E24" s="24">
        <f t="shared" si="6"/>
        <v>0.17199999999999999</v>
      </c>
      <c r="F24" s="39"/>
      <c r="H24" s="38"/>
      <c r="I24" s="38"/>
      <c r="J24" s="38"/>
      <c r="K24" s="36"/>
      <c r="L24" s="36"/>
      <c r="N24" s="6">
        <f t="shared" si="7"/>
        <v>2.4999999999998934E-5</v>
      </c>
      <c r="O24" s="6">
        <f t="shared" si="7"/>
        <v>1.0000000000000019E-6</v>
      </c>
    </row>
    <row r="25" spans="1:15" x14ac:dyDescent="0.4">
      <c r="A25" s="1">
        <v>7</v>
      </c>
      <c r="B25" s="23">
        <v>1.9390000000000001</v>
      </c>
      <c r="C25" s="23">
        <v>0.17399999999999999</v>
      </c>
      <c r="D25" s="24">
        <f t="shared" si="6"/>
        <v>1.9390000000000001</v>
      </c>
      <c r="E25" s="24">
        <f t="shared" si="6"/>
        <v>0.17399999999999999</v>
      </c>
      <c r="F25" s="39"/>
      <c r="H25" s="38"/>
      <c r="I25" s="38"/>
      <c r="J25" s="38"/>
      <c r="K25" s="36"/>
      <c r="L25" s="36"/>
      <c r="N25" s="6">
        <f t="shared" si="7"/>
        <v>3.6000000000000062E-5</v>
      </c>
      <c r="O25" s="6">
        <f t="shared" si="7"/>
        <v>1.0000000000000019E-6</v>
      </c>
    </row>
    <row r="26" spans="1:15" x14ac:dyDescent="0.4">
      <c r="A26" s="1">
        <v>8</v>
      </c>
      <c r="B26" s="23">
        <v>1.944</v>
      </c>
      <c r="C26" s="23">
        <v>0.17499999999999999</v>
      </c>
      <c r="D26" s="24">
        <f t="shared" si="6"/>
        <v>1.944</v>
      </c>
      <c r="E26" s="24">
        <f t="shared" si="6"/>
        <v>0.17499999999999999</v>
      </c>
      <c r="F26" s="39"/>
      <c r="H26" s="38"/>
      <c r="I26" s="38"/>
      <c r="J26" s="38"/>
      <c r="K26" s="36"/>
      <c r="L26" s="36"/>
      <c r="N26" s="6">
        <f t="shared" si="7"/>
        <v>1.0000000000002238E-6</v>
      </c>
      <c r="O26" s="6">
        <f t="shared" si="7"/>
        <v>4.0000000000000074E-6</v>
      </c>
    </row>
    <row r="27" spans="1:15" x14ac:dyDescent="0.4">
      <c r="A27" s="1">
        <v>9</v>
      </c>
      <c r="B27" s="23">
        <v>1.9450000000000001</v>
      </c>
      <c r="C27" s="23">
        <v>0.17399999999999999</v>
      </c>
      <c r="D27" s="24">
        <f t="shared" si="6"/>
        <v>1.9450000000000001</v>
      </c>
      <c r="E27" s="24">
        <f t="shared" si="6"/>
        <v>0.17399999999999999</v>
      </c>
      <c r="F27" s="39"/>
      <c r="H27" s="38"/>
      <c r="I27" s="38"/>
      <c r="J27" s="38"/>
      <c r="K27" s="36"/>
      <c r="L27" s="36"/>
      <c r="N27" s="6">
        <f t="shared" si="7"/>
        <v>0</v>
      </c>
      <c r="O27" s="6">
        <f t="shared" si="7"/>
        <v>1.0000000000000019E-6</v>
      </c>
    </row>
    <row r="28" spans="1:15" x14ac:dyDescent="0.4">
      <c r="A28" s="1">
        <v>10</v>
      </c>
      <c r="B28" s="23">
        <v>1.9450000000000001</v>
      </c>
      <c r="C28" s="23">
        <v>0.17299999999999999</v>
      </c>
      <c r="D28" s="24">
        <f t="shared" si="6"/>
        <v>1.9450000000000001</v>
      </c>
      <c r="E28" s="24">
        <f t="shared" si="6"/>
        <v>0.17299999999999999</v>
      </c>
      <c r="F28" s="39"/>
      <c r="H28" s="38"/>
      <c r="I28" s="38"/>
      <c r="J28" s="38"/>
      <c r="K28" s="36"/>
      <c r="L28" s="36"/>
      <c r="N28" s="6">
        <f t="shared" si="7"/>
        <v>0</v>
      </c>
      <c r="O28" s="6">
        <f t="shared" si="7"/>
        <v>0</v>
      </c>
    </row>
    <row r="29" spans="1:15" x14ac:dyDescent="0.4">
      <c r="A29" s="1" t="s">
        <v>35</v>
      </c>
      <c r="B29" s="27">
        <f>AVERAGE(B19:B28)</f>
        <v>1.9451000000000001</v>
      </c>
      <c r="C29" s="27">
        <f t="shared" ref="C29:E29" si="8">AVERAGE(C19:C28)</f>
        <v>0.17269999999999999</v>
      </c>
      <c r="D29" s="27">
        <f t="shared" si="8"/>
        <v>1.9451000000000001</v>
      </c>
      <c r="E29" s="27">
        <f t="shared" si="8"/>
        <v>0.17269999999999999</v>
      </c>
      <c r="F29" s="4"/>
      <c r="G29" s="10"/>
      <c r="K29" s="16" t="s">
        <v>42</v>
      </c>
      <c r="L29" s="16" t="s">
        <v>43</v>
      </c>
      <c r="N29" s="35" t="s">
        <v>34</v>
      </c>
      <c r="O29" s="35"/>
    </row>
    <row r="30" spans="1:15" x14ac:dyDescent="0.4">
      <c r="B30" s="4"/>
      <c r="C30" s="4"/>
      <c r="D30" s="4"/>
      <c r="E30" s="4"/>
      <c r="F30" s="4"/>
      <c r="G30" s="4"/>
      <c r="K30" s="25">
        <f t="shared" ref="K30:L30" si="9">ROUNDUP(K19,3)</f>
        <v>3.0000000000000001E-3</v>
      </c>
      <c r="L30" s="25">
        <f t="shared" si="9"/>
        <v>3.0000000000000001E-3</v>
      </c>
      <c r="N30" s="29">
        <f>SQRT(SUM(N19:N28)/($A$28*$A$27))</f>
        <v>1.538397434561914E-3</v>
      </c>
      <c r="O30" s="29">
        <f>SQRT(SUM(O19:O28)/($A$28*$A$27))</f>
        <v>9.2496246170077189E-4</v>
      </c>
    </row>
    <row r="31" spans="1:15" x14ac:dyDescent="0.4">
      <c r="A31" s="16" t="s">
        <v>91</v>
      </c>
      <c r="B31" s="24"/>
      <c r="C31" s="24"/>
      <c r="D31" s="25">
        <f t="shared" ref="D31:E31" si="10">TranValue(D29,3)</f>
        <v>1.9450000000000001</v>
      </c>
      <c r="E31" s="25">
        <f t="shared" si="10"/>
        <v>0.17299999999999999</v>
      </c>
      <c r="F31" s="4"/>
      <c r="K31" s="16" t="s">
        <v>154</v>
      </c>
      <c r="L31" s="16" t="s">
        <v>156</v>
      </c>
    </row>
    <row r="32" spans="1:15" x14ac:dyDescent="0.4">
      <c r="K32" s="31">
        <f>K$30/D$31</f>
        <v>1.5424164524421593E-3</v>
      </c>
      <c r="L32" s="31">
        <f>L$30/E$31</f>
        <v>1.7341040462427747E-2</v>
      </c>
    </row>
  </sheetData>
  <mergeCells count="22">
    <mergeCell ref="N29:O29"/>
    <mergeCell ref="N13:P13"/>
    <mergeCell ref="A17:F17"/>
    <mergeCell ref="N18:O18"/>
    <mergeCell ref="F19:F28"/>
    <mergeCell ref="H19:H28"/>
    <mergeCell ref="I19:I28"/>
    <mergeCell ref="J19:J28"/>
    <mergeCell ref="K19:K28"/>
    <mergeCell ref="L19:L28"/>
    <mergeCell ref="R6:S6"/>
    <mergeCell ref="R4:S4"/>
    <mergeCell ref="R9:S9"/>
    <mergeCell ref="R10:S10"/>
    <mergeCell ref="A1:D1"/>
    <mergeCell ref="N2:P2"/>
    <mergeCell ref="H3:H12"/>
    <mergeCell ref="I3:I12"/>
    <mergeCell ref="J3:J12"/>
    <mergeCell ref="K3:K12"/>
    <mergeCell ref="L3:L12"/>
    <mergeCell ref="M3:M12"/>
  </mergeCells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T32"/>
  <sheetViews>
    <sheetView zoomScale="70" zoomScaleNormal="70" workbookViewId="0">
      <selection activeCell="S7" sqref="S7"/>
    </sheetView>
  </sheetViews>
  <sheetFormatPr defaultColWidth="9.1328125" defaultRowHeight="13.9" x14ac:dyDescent="0.4"/>
  <cols>
    <col min="1" max="1" width="9.06640625" style="1" bestFit="1" customWidth="1"/>
    <col min="2" max="3" width="8.265625" style="1" bestFit="1" customWidth="1"/>
    <col min="4" max="5" width="12.46484375" style="1" bestFit="1" customWidth="1"/>
    <col min="6" max="6" width="12" style="1" bestFit="1" customWidth="1"/>
    <col min="7" max="7" width="9.1328125" style="1"/>
    <col min="8" max="9" width="9.33203125" style="1" bestFit="1" customWidth="1"/>
    <col min="10" max="12" width="9.6640625" style="1" bestFit="1" customWidth="1"/>
    <col min="13" max="13" width="10.73046875" style="1" bestFit="1" customWidth="1"/>
    <col min="14" max="15" width="14.1328125" style="1" bestFit="1" customWidth="1"/>
    <col min="16" max="16" width="9.6640625" style="5" bestFit="1" customWidth="1"/>
    <col min="17" max="17" width="9.33203125" style="1" bestFit="1" customWidth="1"/>
    <col min="18" max="18" width="12.59765625" style="1" bestFit="1" customWidth="1"/>
    <col min="19" max="19" width="13" style="1" bestFit="1" customWidth="1"/>
    <col min="20" max="20" width="50.265625" style="1" bestFit="1" customWidth="1"/>
    <col min="21" max="16384" width="9.1328125" style="1"/>
  </cols>
  <sheetData>
    <row r="1" spans="1:20" x14ac:dyDescent="0.4">
      <c r="A1" s="34" t="s">
        <v>23</v>
      </c>
      <c r="B1" s="34"/>
      <c r="C1" s="34"/>
      <c r="D1" s="34"/>
      <c r="E1" s="15"/>
    </row>
    <row r="2" spans="1:20" x14ac:dyDescent="0.4">
      <c r="A2" s="1" t="s">
        <v>44</v>
      </c>
      <c r="B2" s="1" t="s">
        <v>45</v>
      </c>
      <c r="C2" s="1" t="s">
        <v>46</v>
      </c>
      <c r="D2" s="1" t="s">
        <v>47</v>
      </c>
      <c r="H2" s="1" t="s">
        <v>93</v>
      </c>
      <c r="I2" s="1" t="s">
        <v>97</v>
      </c>
      <c r="J2" s="1" t="s">
        <v>101</v>
      </c>
      <c r="K2" s="1" t="s">
        <v>102</v>
      </c>
      <c r="L2" s="1" t="s">
        <v>48</v>
      </c>
      <c r="M2" s="1" t="s">
        <v>31</v>
      </c>
      <c r="N2" s="37" t="s">
        <v>33</v>
      </c>
      <c r="O2" s="37"/>
      <c r="P2" s="37"/>
      <c r="R2" s="1" t="s">
        <v>120</v>
      </c>
      <c r="S2" s="1" t="s">
        <v>116</v>
      </c>
    </row>
    <row r="3" spans="1:20" x14ac:dyDescent="0.4">
      <c r="A3" s="1">
        <v>1</v>
      </c>
      <c r="B3" s="18">
        <v>26</v>
      </c>
      <c r="C3" s="18">
        <v>22</v>
      </c>
      <c r="D3" s="18">
        <v>49.96</v>
      </c>
      <c r="E3" s="12"/>
      <c r="H3" s="38">
        <v>0.02</v>
      </c>
      <c r="I3" s="38">
        <f>$H$3/SQRT(3)</f>
        <v>1.1547005383792516E-2</v>
      </c>
      <c r="J3" s="38">
        <v>1.06</v>
      </c>
      <c r="K3" s="36">
        <f>SQRT(($J$3*N14)^2+$I$3^2)</f>
        <v>1.2482200660674113E-2</v>
      </c>
      <c r="L3" s="36">
        <f>SQRT(($J$3*O14)^2+$I$3^2)</f>
        <v>1.4687772692503896E-2</v>
      </c>
      <c r="M3" s="36">
        <f>SQRT(($J$3*P14)^2+$I$3^2)</f>
        <v>1.3258221767810744E-2</v>
      </c>
      <c r="N3" s="2">
        <f>(B3-B$15)^2</f>
        <v>1.0000000000003127E-4</v>
      </c>
      <c r="O3" s="2">
        <f t="shared" ref="O3:O12" si="0">(C3-C$15)^2</f>
        <v>1.0000000000003127E-4</v>
      </c>
      <c r="P3" s="2">
        <f t="shared" ref="P3:P12" si="1">(D3-D$15)^2</f>
        <v>9.9999999999960215E-5</v>
      </c>
      <c r="R3" s="1">
        <f>(PI()/4)*$D$15*($B$15^2-$C$15^2)</f>
        <v>7569.9439589781286</v>
      </c>
      <c r="S3" s="1">
        <f>SQRT((($B$15^2-$C$15^2)^2)*$M$14^2+((2*$D$15*$B$15)^2)*$K$14^2+((-2*$D$15*$C$15)^2)*$L$14^2)</f>
        <v>68.161119587054912</v>
      </c>
      <c r="T3" s="5"/>
    </row>
    <row r="4" spans="1:20" x14ac:dyDescent="0.4">
      <c r="A4" s="1">
        <v>2</v>
      </c>
      <c r="B4" s="18">
        <v>26.02</v>
      </c>
      <c r="C4" s="18">
        <v>21.96</v>
      </c>
      <c r="D4" s="18">
        <v>49.94</v>
      </c>
      <c r="E4" s="12"/>
      <c r="H4" s="38"/>
      <c r="I4" s="38"/>
      <c r="J4" s="38"/>
      <c r="K4" s="36"/>
      <c r="L4" s="36"/>
      <c r="M4" s="36"/>
      <c r="N4" s="2">
        <f t="shared" ref="N4:N12" si="2">(B4-B$15)^2</f>
        <v>9.9999999999960215E-5</v>
      </c>
      <c r="O4" s="2">
        <f t="shared" si="0"/>
        <v>8.9999999999985502E-4</v>
      </c>
      <c r="P4" s="2">
        <f t="shared" si="1"/>
        <v>1.0000000000010231E-4</v>
      </c>
      <c r="R4" s="34" t="s">
        <v>128</v>
      </c>
      <c r="S4" s="34"/>
      <c r="T4" s="5"/>
    </row>
    <row r="5" spans="1:20" x14ac:dyDescent="0.4">
      <c r="A5" s="1">
        <v>3</v>
      </c>
      <c r="B5" s="18">
        <v>26</v>
      </c>
      <c r="C5" s="18">
        <v>22.02</v>
      </c>
      <c r="D5" s="18">
        <v>49.96</v>
      </c>
      <c r="E5" s="12"/>
      <c r="H5" s="38"/>
      <c r="I5" s="38"/>
      <c r="J5" s="38"/>
      <c r="K5" s="36"/>
      <c r="L5" s="36"/>
      <c r="M5" s="36"/>
      <c r="N5" s="2">
        <f t="shared" si="2"/>
        <v>1.0000000000003127E-4</v>
      </c>
      <c r="O5" s="2">
        <f t="shared" si="0"/>
        <v>9.0000000000006817E-4</v>
      </c>
      <c r="P5" s="2">
        <f t="shared" si="1"/>
        <v>9.9999999999960215E-5</v>
      </c>
      <c r="R5" s="1">
        <f>TranValue(R3,2)</f>
        <v>7569.94</v>
      </c>
      <c r="S5" s="1">
        <v>68.161119587054912</v>
      </c>
      <c r="T5" s="5"/>
    </row>
    <row r="6" spans="1:20" x14ac:dyDescent="0.4">
      <c r="A6" s="1">
        <v>4</v>
      </c>
      <c r="B6" s="18">
        <v>26</v>
      </c>
      <c r="C6" s="18">
        <v>21.96</v>
      </c>
      <c r="D6" s="18">
        <v>49.94</v>
      </c>
      <c r="E6" s="12"/>
      <c r="H6" s="38"/>
      <c r="I6" s="38"/>
      <c r="J6" s="38"/>
      <c r="K6" s="36"/>
      <c r="L6" s="36"/>
      <c r="M6" s="36"/>
      <c r="N6" s="2">
        <f t="shared" si="2"/>
        <v>1.0000000000003127E-4</v>
      </c>
      <c r="O6" s="2">
        <f t="shared" si="0"/>
        <v>8.9999999999985502E-4</v>
      </c>
      <c r="P6" s="2">
        <f t="shared" si="1"/>
        <v>1.0000000000010231E-4</v>
      </c>
      <c r="R6" s="33" t="s">
        <v>124</v>
      </c>
      <c r="S6" s="33"/>
      <c r="T6" s="5"/>
    </row>
    <row r="7" spans="1:20" x14ac:dyDescent="0.4">
      <c r="A7" s="1">
        <v>5</v>
      </c>
      <c r="B7" s="18">
        <v>26.02</v>
      </c>
      <c r="C7" s="18">
        <v>22.02</v>
      </c>
      <c r="D7" s="18">
        <v>49.94</v>
      </c>
      <c r="E7" s="12"/>
      <c r="H7" s="38"/>
      <c r="I7" s="38"/>
      <c r="J7" s="38"/>
      <c r="K7" s="36"/>
      <c r="L7" s="36"/>
      <c r="M7" s="36"/>
      <c r="N7" s="2">
        <f t="shared" si="2"/>
        <v>9.9999999999960215E-5</v>
      </c>
      <c r="O7" s="2">
        <f t="shared" si="0"/>
        <v>9.0000000000006817E-4</v>
      </c>
      <c r="P7" s="2">
        <f t="shared" si="1"/>
        <v>1.0000000000010231E-4</v>
      </c>
      <c r="R7" s="22">
        <f>TranValue(R5,2)</f>
        <v>7569.94</v>
      </c>
      <c r="S7" s="16">
        <v>68.161119587054912</v>
      </c>
      <c r="T7" s="17" t="s">
        <v>160</v>
      </c>
    </row>
    <row r="8" spans="1:20" x14ac:dyDescent="0.4">
      <c r="A8" s="1">
        <v>6</v>
      </c>
      <c r="B8" s="18">
        <v>26.02</v>
      </c>
      <c r="C8" s="18">
        <v>22</v>
      </c>
      <c r="D8" s="18">
        <v>49.980000000000004</v>
      </c>
      <c r="E8" s="12"/>
      <c r="H8" s="38"/>
      <c r="I8" s="38"/>
      <c r="J8" s="38"/>
      <c r="K8" s="36"/>
      <c r="L8" s="36"/>
      <c r="M8" s="36"/>
      <c r="N8" s="2">
        <f t="shared" si="2"/>
        <v>9.9999999999960215E-5</v>
      </c>
      <c r="O8" s="2">
        <f t="shared" si="0"/>
        <v>1.0000000000003127E-4</v>
      </c>
      <c r="P8" s="2">
        <f t="shared" si="1"/>
        <v>9.0000000000006817E-4</v>
      </c>
      <c r="T8" s="5"/>
    </row>
    <row r="9" spans="1:20" x14ac:dyDescent="0.4">
      <c r="A9" s="1">
        <v>7</v>
      </c>
      <c r="B9" s="18">
        <v>26.02</v>
      </c>
      <c r="C9" s="18">
        <v>21.96</v>
      </c>
      <c r="D9" s="18">
        <v>49.92</v>
      </c>
      <c r="E9" s="12"/>
      <c r="H9" s="38"/>
      <c r="I9" s="38"/>
      <c r="J9" s="38"/>
      <c r="K9" s="36"/>
      <c r="L9" s="36"/>
      <c r="M9" s="36"/>
      <c r="N9" s="2">
        <f t="shared" si="2"/>
        <v>9.9999999999960215E-5</v>
      </c>
      <c r="O9" s="2">
        <f t="shared" si="0"/>
        <v>8.9999999999985502E-4</v>
      </c>
      <c r="P9" s="2">
        <f t="shared" si="1"/>
        <v>9.0000000000006817E-4</v>
      </c>
      <c r="R9" s="33" t="s">
        <v>131</v>
      </c>
      <c r="S9" s="33"/>
      <c r="T9" s="5"/>
    </row>
    <row r="10" spans="1:20" x14ac:dyDescent="0.4">
      <c r="A10" s="1">
        <v>8</v>
      </c>
      <c r="B10" s="18">
        <v>26</v>
      </c>
      <c r="C10" s="18">
        <v>22</v>
      </c>
      <c r="D10" s="18">
        <v>49.980000000000004</v>
      </c>
      <c r="E10" s="12"/>
      <c r="H10" s="38"/>
      <c r="I10" s="38"/>
      <c r="J10" s="38"/>
      <c r="K10" s="36"/>
      <c r="L10" s="36"/>
      <c r="M10" s="36"/>
      <c r="N10" s="2">
        <f t="shared" si="2"/>
        <v>1.0000000000003127E-4</v>
      </c>
      <c r="O10" s="2">
        <f t="shared" si="0"/>
        <v>1.0000000000003127E-4</v>
      </c>
      <c r="P10" s="2">
        <f t="shared" si="1"/>
        <v>9.0000000000006817E-4</v>
      </c>
      <c r="R10" s="33">
        <v>0.68300000000000005</v>
      </c>
      <c r="S10" s="33"/>
      <c r="T10" s="5"/>
    </row>
    <row r="11" spans="1:20" x14ac:dyDescent="0.4">
      <c r="A11" s="1">
        <v>9</v>
      </c>
      <c r="B11" s="18">
        <v>26.02</v>
      </c>
      <c r="C11" s="18">
        <v>22.02</v>
      </c>
      <c r="D11" s="18">
        <v>49.94</v>
      </c>
      <c r="E11" s="12"/>
      <c r="H11" s="38"/>
      <c r="I11" s="38"/>
      <c r="J11" s="38"/>
      <c r="K11" s="36"/>
      <c r="L11" s="36"/>
      <c r="M11" s="36"/>
      <c r="N11" s="2">
        <f t="shared" si="2"/>
        <v>9.9999999999960215E-5</v>
      </c>
      <c r="O11" s="2">
        <f t="shared" si="0"/>
        <v>9.0000000000006817E-4</v>
      </c>
      <c r="P11" s="2">
        <f t="shared" si="1"/>
        <v>1.0000000000010231E-4</v>
      </c>
      <c r="T11" s="5"/>
    </row>
    <row r="12" spans="1:20" x14ac:dyDescent="0.4">
      <c r="A12" s="1">
        <v>10</v>
      </c>
      <c r="B12" s="18">
        <v>25.98</v>
      </c>
      <c r="C12" s="18">
        <v>21.96</v>
      </c>
      <c r="D12" s="18">
        <v>49.96</v>
      </c>
      <c r="E12" s="12"/>
      <c r="H12" s="38"/>
      <c r="I12" s="38"/>
      <c r="J12" s="38"/>
      <c r="K12" s="36"/>
      <c r="L12" s="36"/>
      <c r="M12" s="36"/>
      <c r="N12" s="2">
        <f t="shared" si="2"/>
        <v>9.0000000000006817E-4</v>
      </c>
      <c r="O12" s="2">
        <f t="shared" si="0"/>
        <v>8.9999999999985502E-4</v>
      </c>
      <c r="P12" s="2">
        <f t="shared" si="1"/>
        <v>9.9999999999960215E-5</v>
      </c>
    </row>
    <row r="13" spans="1:20" x14ac:dyDescent="0.4">
      <c r="A13" s="1" t="s">
        <v>52</v>
      </c>
      <c r="B13" s="19">
        <f>AVERAGE(B3:B12)</f>
        <v>26.008000000000003</v>
      </c>
      <c r="C13" s="19">
        <f>AVERAGE(C3:C12)</f>
        <v>21.990000000000002</v>
      </c>
      <c r="D13" s="19">
        <f>AVERAGE(D3:D12)</f>
        <v>49.952000000000005</v>
      </c>
      <c r="E13" s="5"/>
      <c r="H13" s="3"/>
      <c r="I13" s="3"/>
      <c r="J13" s="3"/>
      <c r="K13" s="16" t="s">
        <v>105</v>
      </c>
      <c r="L13" s="16" t="s">
        <v>109</v>
      </c>
      <c r="M13" s="16" t="s">
        <v>49</v>
      </c>
      <c r="N13" s="35" t="s">
        <v>137</v>
      </c>
      <c r="O13" s="35"/>
      <c r="P13" s="35"/>
    </row>
    <row r="14" spans="1:20" x14ac:dyDescent="0.4">
      <c r="E14" s="5"/>
      <c r="I14" s="9"/>
      <c r="K14" s="28">
        <f>ROUNDUP(K3,2)</f>
        <v>0.02</v>
      </c>
      <c r="L14" s="28">
        <f t="shared" ref="L14:M14" si="3">ROUNDUP(L3,2)</f>
        <v>0.02</v>
      </c>
      <c r="M14" s="28">
        <f t="shared" si="3"/>
        <v>0.02</v>
      </c>
      <c r="N14" s="29">
        <f>SQRT(SUM(N3:N12)/($A$12*$A$11))</f>
        <v>4.472135954999572E-3</v>
      </c>
      <c r="O14" s="29">
        <f t="shared" ref="O14:P14" si="4">SQRT(SUM(O3:O12)/($A$12*$A$11))</f>
        <v>8.5634883857765697E-3</v>
      </c>
      <c r="P14" s="29">
        <f t="shared" si="4"/>
        <v>6.1463629715290385E-3</v>
      </c>
    </row>
    <row r="15" spans="1:20" x14ac:dyDescent="0.4">
      <c r="A15" s="16" t="s">
        <v>90</v>
      </c>
      <c r="B15" s="20">
        <f>TranValue(B13,2)</f>
        <v>26.01</v>
      </c>
      <c r="C15" s="20">
        <f>TranValue(C13,2)</f>
        <v>21.99</v>
      </c>
      <c r="D15" s="20">
        <f>TranValue(D13,2)</f>
        <v>49.95</v>
      </c>
      <c r="E15" s="5"/>
      <c r="F15" s="5"/>
      <c r="G15" s="5"/>
      <c r="H15" s="5"/>
      <c r="I15" s="5"/>
      <c r="K15" s="16" t="s">
        <v>141</v>
      </c>
      <c r="L15" s="16" t="s">
        <v>145</v>
      </c>
      <c r="M15" s="16" t="s">
        <v>150</v>
      </c>
    </row>
    <row r="16" spans="1:20" x14ac:dyDescent="0.4">
      <c r="K16" s="31">
        <f>K$14/B$15</f>
        <v>7.6893502499038834E-4</v>
      </c>
      <c r="L16" s="31">
        <f t="shared" ref="L16:M16" si="5">L$14/C$15</f>
        <v>9.0950432014552077E-4</v>
      </c>
      <c r="M16" s="31">
        <f t="shared" si="5"/>
        <v>4.0040040040040036E-4</v>
      </c>
    </row>
    <row r="17" spans="1:15" x14ac:dyDescent="0.4">
      <c r="A17" s="34" t="s">
        <v>53</v>
      </c>
      <c r="B17" s="34"/>
      <c r="C17" s="34"/>
      <c r="D17" s="34"/>
      <c r="E17" s="34"/>
      <c r="F17" s="34"/>
    </row>
    <row r="18" spans="1:15" x14ac:dyDescent="0.4">
      <c r="A18" s="1" t="s">
        <v>44</v>
      </c>
      <c r="B18" s="1" t="s">
        <v>54</v>
      </c>
      <c r="C18" s="1" t="s">
        <v>55</v>
      </c>
      <c r="D18" s="1" t="s">
        <v>56</v>
      </c>
      <c r="E18" s="1" t="s">
        <v>86</v>
      </c>
      <c r="F18" s="1" t="s">
        <v>81</v>
      </c>
      <c r="H18" s="1" t="s">
        <v>57</v>
      </c>
      <c r="I18" s="1" t="s">
        <v>58</v>
      </c>
      <c r="J18" s="1" t="s">
        <v>59</v>
      </c>
      <c r="K18" s="1" t="s">
        <v>60</v>
      </c>
      <c r="L18" s="1" t="s">
        <v>61</v>
      </c>
      <c r="N18" s="37" t="s">
        <v>33</v>
      </c>
      <c r="O18" s="37"/>
    </row>
    <row r="19" spans="1:15" x14ac:dyDescent="0.4">
      <c r="A19" s="1">
        <v>1</v>
      </c>
      <c r="B19" s="23">
        <v>1.845</v>
      </c>
      <c r="C19" s="23">
        <v>0.115</v>
      </c>
      <c r="D19" s="23">
        <f>B19-$F$19</f>
        <v>1.8499999999999999</v>
      </c>
      <c r="E19" s="23">
        <f>C19-$F$19</f>
        <v>0.12000000000000001</v>
      </c>
      <c r="F19" s="39">
        <v>-5.0000000000000001E-3</v>
      </c>
      <c r="H19" s="38">
        <v>4.0000000000000001E-3</v>
      </c>
      <c r="I19" s="38">
        <f>$H$19/SQRT(3)</f>
        <v>2.3094010767585032E-3</v>
      </c>
      <c r="J19" s="38">
        <v>1.06</v>
      </c>
      <c r="K19" s="36">
        <f>SQRT(($J$19*N30)^2+$I$19^2)</f>
        <v>1.8911817469508319E-2</v>
      </c>
      <c r="L19" s="36">
        <f>SQRT(($J$19*O30)^2+$I$19^2)</f>
        <v>8.3652726594335616E-3</v>
      </c>
      <c r="N19" s="6">
        <f>(D19-D$31)^2</f>
        <v>3.6099999999999641E-4</v>
      </c>
      <c r="O19" s="6">
        <f>(E19-E$31)^2</f>
        <v>4.8400000000000027E-4</v>
      </c>
    </row>
    <row r="20" spans="1:15" x14ac:dyDescent="0.4">
      <c r="A20" s="1">
        <v>2</v>
      </c>
      <c r="B20" s="23">
        <v>1.8620000000000001</v>
      </c>
      <c r="C20" s="23">
        <v>7.1999999999999995E-2</v>
      </c>
      <c r="D20" s="23">
        <f t="shared" ref="D20:E28" si="6">B20-$F$19</f>
        <v>1.867</v>
      </c>
      <c r="E20" s="23">
        <f t="shared" si="6"/>
        <v>7.6999999999999999E-2</v>
      </c>
      <c r="F20" s="39"/>
      <c r="H20" s="38"/>
      <c r="I20" s="38"/>
      <c r="J20" s="38"/>
      <c r="K20" s="36"/>
      <c r="L20" s="36"/>
      <c r="N20" s="6">
        <f t="shared" ref="N20:O28" si="7">(D20-D$31)^2</f>
        <v>1.2960000000000022E-3</v>
      </c>
      <c r="O20" s="6">
        <f t="shared" si="7"/>
        <v>4.410000000000002E-4</v>
      </c>
    </row>
    <row r="21" spans="1:15" x14ac:dyDescent="0.4">
      <c r="A21" s="1">
        <v>3</v>
      </c>
      <c r="B21" s="23">
        <v>1.849</v>
      </c>
      <c r="C21" s="23">
        <v>0.09</v>
      </c>
      <c r="D21" s="23">
        <f t="shared" si="6"/>
        <v>1.8539999999999999</v>
      </c>
      <c r="E21" s="23">
        <f t="shared" si="6"/>
        <v>9.5000000000000001E-2</v>
      </c>
      <c r="F21" s="39"/>
      <c r="H21" s="38"/>
      <c r="I21" s="38"/>
      <c r="J21" s="38"/>
      <c r="K21" s="36"/>
      <c r="L21" s="36"/>
      <c r="N21" s="6">
        <f t="shared" si="7"/>
        <v>5.2899999999999584E-4</v>
      </c>
      <c r="O21" s="6">
        <f t="shared" si="7"/>
        <v>9.0000000000000155E-6</v>
      </c>
    </row>
    <row r="22" spans="1:15" x14ac:dyDescent="0.4">
      <c r="A22" s="1">
        <v>4</v>
      </c>
      <c r="B22" s="23">
        <v>1.849</v>
      </c>
      <c r="C22" s="23">
        <v>8.8999999999999996E-2</v>
      </c>
      <c r="D22" s="23">
        <f t="shared" si="6"/>
        <v>1.8539999999999999</v>
      </c>
      <c r="E22" s="23">
        <f t="shared" si="6"/>
        <v>9.4E-2</v>
      </c>
      <c r="F22" s="39"/>
      <c r="H22" s="38"/>
      <c r="I22" s="38"/>
      <c r="J22" s="38"/>
      <c r="K22" s="36"/>
      <c r="L22" s="36"/>
      <c r="N22" s="6">
        <f t="shared" si="7"/>
        <v>5.2899999999999584E-4</v>
      </c>
      <c r="O22" s="6">
        <f t="shared" si="7"/>
        <v>1.600000000000003E-5</v>
      </c>
    </row>
    <row r="23" spans="1:15" x14ac:dyDescent="0.4">
      <c r="A23" s="1">
        <v>5</v>
      </c>
      <c r="B23" s="23">
        <v>1.8480000000000001</v>
      </c>
      <c r="C23" s="23">
        <v>0.09</v>
      </c>
      <c r="D23" s="23">
        <f t="shared" si="6"/>
        <v>1.853</v>
      </c>
      <c r="E23" s="23">
        <f t="shared" si="6"/>
        <v>9.5000000000000001E-2</v>
      </c>
      <c r="F23" s="39"/>
      <c r="H23" s="38"/>
      <c r="I23" s="38"/>
      <c r="J23" s="38"/>
      <c r="K23" s="36"/>
      <c r="L23" s="36"/>
      <c r="N23" s="6">
        <f t="shared" si="7"/>
        <v>4.8400000000000087E-4</v>
      </c>
      <c r="O23" s="6">
        <f t="shared" si="7"/>
        <v>9.0000000000000155E-6</v>
      </c>
    </row>
    <row r="24" spans="1:15" x14ac:dyDescent="0.4">
      <c r="A24" s="1">
        <v>6</v>
      </c>
      <c r="B24" s="23">
        <v>1.841</v>
      </c>
      <c r="C24" s="23">
        <v>0.08</v>
      </c>
      <c r="D24" s="23">
        <f t="shared" si="6"/>
        <v>1.8459999999999999</v>
      </c>
      <c r="E24" s="23">
        <f t="shared" si="6"/>
        <v>8.5000000000000006E-2</v>
      </c>
      <c r="F24" s="39"/>
      <c r="H24" s="38"/>
      <c r="I24" s="38"/>
      <c r="J24" s="38"/>
      <c r="K24" s="36"/>
      <c r="L24" s="36"/>
      <c r="N24" s="6">
        <f t="shared" si="7"/>
        <v>2.2499999999999707E-4</v>
      </c>
      <c r="O24" s="6">
        <f t="shared" si="7"/>
        <v>1.6899999999999993E-4</v>
      </c>
    </row>
    <row r="25" spans="1:15" x14ac:dyDescent="0.4">
      <c r="A25" s="1">
        <v>7</v>
      </c>
      <c r="B25" s="23">
        <v>1.8620000000000001</v>
      </c>
      <c r="C25" s="23">
        <v>0.15</v>
      </c>
      <c r="D25" s="23">
        <f t="shared" si="6"/>
        <v>1.867</v>
      </c>
      <c r="E25" s="23">
        <f t="shared" si="6"/>
        <v>0.155</v>
      </c>
      <c r="F25" s="39"/>
      <c r="H25" s="38"/>
      <c r="I25" s="38"/>
      <c r="J25" s="38"/>
      <c r="K25" s="36"/>
      <c r="L25" s="36"/>
      <c r="N25" s="6">
        <f t="shared" si="7"/>
        <v>1.2960000000000022E-3</v>
      </c>
      <c r="O25" s="6">
        <f t="shared" si="7"/>
        <v>3.2489999999999993E-3</v>
      </c>
    </row>
    <row r="26" spans="1:15" x14ac:dyDescent="0.4">
      <c r="A26" s="1">
        <v>8</v>
      </c>
      <c r="B26" s="23">
        <v>1.6850000000000001</v>
      </c>
      <c r="C26" s="23">
        <v>6.7000000000000004E-2</v>
      </c>
      <c r="D26" s="23">
        <f t="shared" si="6"/>
        <v>1.69</v>
      </c>
      <c r="E26" s="23">
        <f t="shared" si="6"/>
        <v>7.2000000000000008E-2</v>
      </c>
      <c r="F26" s="39"/>
      <c r="H26" s="38"/>
      <c r="I26" s="38"/>
      <c r="J26" s="38"/>
      <c r="K26" s="36"/>
      <c r="L26" s="36"/>
      <c r="N26" s="6">
        <f t="shared" si="7"/>
        <v>1.9881000000000003E-2</v>
      </c>
      <c r="O26" s="6">
        <f t="shared" si="7"/>
        <v>6.7599999999999973E-4</v>
      </c>
    </row>
    <row r="27" spans="1:15" x14ac:dyDescent="0.4">
      <c r="A27" s="1">
        <v>9</v>
      </c>
      <c r="B27" s="23">
        <v>1.77</v>
      </c>
      <c r="C27" s="23">
        <v>9.0999999999999998E-2</v>
      </c>
      <c r="D27" s="23">
        <f t="shared" si="6"/>
        <v>1.7749999999999999</v>
      </c>
      <c r="E27" s="23">
        <f t="shared" si="6"/>
        <v>9.6000000000000002E-2</v>
      </c>
      <c r="F27" s="39"/>
      <c r="H27" s="38"/>
      <c r="I27" s="38"/>
      <c r="J27" s="38"/>
      <c r="K27" s="36"/>
      <c r="L27" s="36"/>
      <c r="N27" s="6">
        <f t="shared" si="7"/>
        <v>3.1360000000000055E-3</v>
      </c>
      <c r="O27" s="6">
        <f t="shared" si="7"/>
        <v>4.0000000000000074E-6</v>
      </c>
    </row>
    <row r="28" spans="1:15" x14ac:dyDescent="0.4">
      <c r="A28" s="1">
        <v>10</v>
      </c>
      <c r="B28" s="23">
        <v>1.8480000000000001</v>
      </c>
      <c r="C28" s="23">
        <v>8.2000000000000003E-2</v>
      </c>
      <c r="D28" s="23">
        <f t="shared" si="6"/>
        <v>1.853</v>
      </c>
      <c r="E28" s="23">
        <f t="shared" si="6"/>
        <v>8.7000000000000008E-2</v>
      </c>
      <c r="F28" s="39"/>
      <c r="H28" s="38"/>
      <c r="I28" s="38"/>
      <c r="J28" s="38"/>
      <c r="K28" s="36"/>
      <c r="L28" s="36"/>
      <c r="N28" s="6">
        <f t="shared" si="7"/>
        <v>4.8400000000000087E-4</v>
      </c>
      <c r="O28" s="6">
        <f t="shared" si="7"/>
        <v>1.2099999999999991E-4</v>
      </c>
    </row>
    <row r="29" spans="1:15" x14ac:dyDescent="0.4">
      <c r="A29" s="1" t="s">
        <v>51</v>
      </c>
      <c r="B29" s="27">
        <f>AVERAGE(B19:B28)</f>
        <v>1.8259000000000001</v>
      </c>
      <c r="C29" s="27">
        <f t="shared" ref="C29:E29" si="8">AVERAGE(C19:C28)</f>
        <v>9.2599999999999988E-2</v>
      </c>
      <c r="D29" s="27">
        <f t="shared" si="8"/>
        <v>1.8309000000000002</v>
      </c>
      <c r="E29" s="27">
        <f t="shared" si="8"/>
        <v>9.7599999999999992E-2</v>
      </c>
      <c r="F29" s="4"/>
      <c r="G29" s="11"/>
      <c r="K29" s="16" t="s">
        <v>42</v>
      </c>
      <c r="L29" s="16" t="s">
        <v>43</v>
      </c>
      <c r="N29" s="35" t="s">
        <v>50</v>
      </c>
      <c r="O29" s="35"/>
    </row>
    <row r="30" spans="1:15" x14ac:dyDescent="0.4">
      <c r="B30" s="4"/>
      <c r="C30" s="4"/>
      <c r="D30" s="4"/>
      <c r="E30" s="4"/>
      <c r="F30" s="4"/>
      <c r="G30" s="4"/>
      <c r="K30" s="25">
        <f t="shared" ref="K30:L30" si="9">ROUNDUP(K19,3)</f>
        <v>1.9E-2</v>
      </c>
      <c r="L30" s="25">
        <f t="shared" si="9"/>
        <v>9.0000000000000011E-3</v>
      </c>
      <c r="N30" s="29">
        <f>SQRT(SUM(N19:N28)/($A$28*$A$27))</f>
        <v>1.7707813717866661E-2</v>
      </c>
      <c r="O30" s="29">
        <f>SQRT(SUM(O19:O28)/($A$28*$A$27))</f>
        <v>7.5850730605138746E-3</v>
      </c>
    </row>
    <row r="31" spans="1:15" x14ac:dyDescent="0.4">
      <c r="A31" s="16" t="s">
        <v>90</v>
      </c>
      <c r="B31" s="24"/>
      <c r="C31" s="24"/>
      <c r="D31" s="25">
        <f t="shared" ref="D31:E31" si="10">TranValue(D29,3)</f>
        <v>1.831</v>
      </c>
      <c r="E31" s="25">
        <f t="shared" si="10"/>
        <v>9.8000000000000004E-2</v>
      </c>
      <c r="F31" s="4"/>
      <c r="K31" s="16" t="s">
        <v>154</v>
      </c>
      <c r="L31" s="16" t="s">
        <v>156</v>
      </c>
    </row>
    <row r="32" spans="1:15" x14ac:dyDescent="0.4">
      <c r="K32" s="31">
        <f>K$30/D$31</f>
        <v>1.0376843255051884E-2</v>
      </c>
      <c r="L32" s="31">
        <f>L$30/E$31</f>
        <v>9.1836734693877556E-2</v>
      </c>
    </row>
  </sheetData>
  <mergeCells count="22">
    <mergeCell ref="A1:D1"/>
    <mergeCell ref="N2:P2"/>
    <mergeCell ref="H3:H12"/>
    <mergeCell ref="I3:I12"/>
    <mergeCell ref="J3:J12"/>
    <mergeCell ref="K3:K12"/>
    <mergeCell ref="L3:L12"/>
    <mergeCell ref="M3:M12"/>
    <mergeCell ref="A17:F17"/>
    <mergeCell ref="N18:O18"/>
    <mergeCell ref="F19:F28"/>
    <mergeCell ref="H19:H28"/>
    <mergeCell ref="I19:I28"/>
    <mergeCell ref="J19:J28"/>
    <mergeCell ref="K19:K28"/>
    <mergeCell ref="L19:L28"/>
    <mergeCell ref="R6:S6"/>
    <mergeCell ref="R4:S4"/>
    <mergeCell ref="R9:S9"/>
    <mergeCell ref="R10:S10"/>
    <mergeCell ref="N29:O29"/>
    <mergeCell ref="N13:P13"/>
  </mergeCells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T32"/>
  <sheetViews>
    <sheetView zoomScale="70" zoomScaleNormal="70" workbookViewId="0">
      <selection activeCell="S7" sqref="S7"/>
    </sheetView>
  </sheetViews>
  <sheetFormatPr defaultColWidth="9.06640625" defaultRowHeight="13.9" x14ac:dyDescent="0.4"/>
  <cols>
    <col min="1" max="1" width="9.06640625" style="1" bestFit="1" customWidth="1"/>
    <col min="2" max="3" width="10.265625" style="1" bestFit="1" customWidth="1"/>
    <col min="4" max="5" width="12.46484375" style="1" bestFit="1" customWidth="1"/>
    <col min="6" max="6" width="12" style="1" bestFit="1" customWidth="1"/>
    <col min="7" max="7" width="9.06640625" style="1"/>
    <col min="8" max="9" width="9.33203125" style="1" bestFit="1" customWidth="1"/>
    <col min="10" max="12" width="9.6640625" style="1" bestFit="1" customWidth="1"/>
    <col min="13" max="13" width="13" style="1" bestFit="1" customWidth="1"/>
    <col min="14" max="15" width="14.1328125" style="1" bestFit="1" customWidth="1"/>
    <col min="16" max="16" width="9.6640625" style="5" customWidth="1"/>
    <col min="17" max="17" width="9.33203125" style="1" bestFit="1" customWidth="1"/>
    <col min="18" max="18" width="12.59765625" style="1" bestFit="1" customWidth="1"/>
    <col min="19" max="19" width="13" style="1" bestFit="1" customWidth="1"/>
    <col min="20" max="20" width="50.265625" style="1" bestFit="1" customWidth="1"/>
    <col min="21" max="16384" width="9.06640625" style="1"/>
  </cols>
  <sheetData>
    <row r="1" spans="1:20" x14ac:dyDescent="0.4">
      <c r="A1" s="34" t="s">
        <v>62</v>
      </c>
      <c r="B1" s="34"/>
      <c r="C1" s="34"/>
      <c r="D1" s="34"/>
      <c r="E1" s="15"/>
    </row>
    <row r="2" spans="1:20" x14ac:dyDescent="0.4">
      <c r="A2" s="1" t="s">
        <v>63</v>
      </c>
      <c r="B2" s="1" t="s">
        <v>64</v>
      </c>
      <c r="C2" s="1" t="s">
        <v>65</v>
      </c>
      <c r="D2" s="1" t="s">
        <v>66</v>
      </c>
      <c r="H2" s="1" t="s">
        <v>13</v>
      </c>
      <c r="I2" s="1" t="s">
        <v>96</v>
      </c>
      <c r="J2" s="1" t="s">
        <v>100</v>
      </c>
      <c r="K2" s="1" t="s">
        <v>15</v>
      </c>
      <c r="L2" s="1" t="s">
        <v>70</v>
      </c>
      <c r="M2" s="1" t="s">
        <v>71</v>
      </c>
      <c r="N2" s="37" t="s">
        <v>72</v>
      </c>
      <c r="O2" s="37"/>
      <c r="P2" s="37"/>
      <c r="R2" s="1" t="s">
        <v>120</v>
      </c>
      <c r="S2" s="1" t="s">
        <v>117</v>
      </c>
    </row>
    <row r="3" spans="1:20" x14ac:dyDescent="0.4">
      <c r="A3" s="1">
        <v>1</v>
      </c>
      <c r="B3" s="21">
        <v>26</v>
      </c>
      <c r="C3" s="21">
        <v>21.8</v>
      </c>
      <c r="D3" s="21">
        <v>50</v>
      </c>
      <c r="E3" s="12"/>
      <c r="H3" s="38">
        <v>0.02</v>
      </c>
      <c r="I3" s="38">
        <f>$H$3/SQRT(3)</f>
        <v>1.1547005383792516E-2</v>
      </c>
      <c r="J3" s="38">
        <v>1.06</v>
      </c>
      <c r="K3" s="36">
        <f>SQRT(($J$3*N14)^2+$I$3^2)</f>
        <v>1.2482200660674148E-2</v>
      </c>
      <c r="L3" s="36">
        <f>SQRT(($J$3*O14)^2+$I$3^2)</f>
        <v>2.7794547826667102E-2</v>
      </c>
      <c r="M3" s="36">
        <f>SQRT(($J$3*P14)^2+$I$3^2)</f>
        <v>4.0699331143835192E-2</v>
      </c>
      <c r="N3" s="2">
        <f>(B3-B$15)^2</f>
        <v>1.0000000000003127E-4</v>
      </c>
      <c r="O3" s="2">
        <f t="shared" ref="O3:O12" si="0">(C3-C$15)^2</f>
        <v>6.3999999999997271E-3</v>
      </c>
      <c r="P3" s="2">
        <f t="shared" ref="P3:P12" si="1">(D3-D$15)^2</f>
        <v>6.3999999999997271E-3</v>
      </c>
      <c r="R3" s="1">
        <f>(PI()/4)*$D$15*($B$15^2-$C$15^2)</f>
        <v>7738.5474687321721</v>
      </c>
      <c r="S3" s="1">
        <f>SQRT((($B$15^2-$C$15^2)^2)*$M$14^2+((2*$D$15*$B$15)^2)*$K$14^2+((-2*$D$15*$C$15)^2)*$L$14^2)</f>
        <v>84.437869579519969</v>
      </c>
    </row>
    <row r="4" spans="1:20" x14ac:dyDescent="0.4">
      <c r="A4" s="1">
        <v>2</v>
      </c>
      <c r="B4" s="21">
        <v>26.02</v>
      </c>
      <c r="C4" s="21">
        <v>21.9</v>
      </c>
      <c r="D4" s="21">
        <v>50.1</v>
      </c>
      <c r="E4" s="12"/>
      <c r="H4" s="38"/>
      <c r="I4" s="38"/>
      <c r="J4" s="38"/>
      <c r="K4" s="36"/>
      <c r="L4" s="36"/>
      <c r="M4" s="36"/>
      <c r="N4" s="2">
        <f t="shared" ref="N4:N12" si="2">(B4-B$15)^2</f>
        <v>9.0000000000006817E-4</v>
      </c>
      <c r="O4" s="2">
        <f t="shared" si="0"/>
        <v>3.9999999999998294E-4</v>
      </c>
      <c r="P4" s="2">
        <f t="shared" si="1"/>
        <v>4.0000000000012508E-4</v>
      </c>
      <c r="R4" s="34" t="s">
        <v>127</v>
      </c>
      <c r="S4" s="34"/>
    </row>
    <row r="5" spans="1:20" x14ac:dyDescent="0.4">
      <c r="A5" s="1">
        <v>3</v>
      </c>
      <c r="B5" s="21">
        <v>26</v>
      </c>
      <c r="C5" s="21">
        <v>21.78</v>
      </c>
      <c r="D5" s="21">
        <v>49.92</v>
      </c>
      <c r="E5" s="12"/>
      <c r="H5" s="38"/>
      <c r="I5" s="38"/>
      <c r="J5" s="38"/>
      <c r="K5" s="36"/>
      <c r="L5" s="36"/>
      <c r="M5" s="36"/>
      <c r="N5" s="2">
        <f t="shared" si="2"/>
        <v>1.0000000000003127E-4</v>
      </c>
      <c r="O5" s="2">
        <f t="shared" si="0"/>
        <v>9.9999999999995735E-3</v>
      </c>
      <c r="P5" s="2">
        <f t="shared" si="1"/>
        <v>2.5599999999998908E-2</v>
      </c>
      <c r="R5" s="1">
        <f>TranValue(R3,2)</f>
        <v>7738.55</v>
      </c>
      <c r="S5" s="1">
        <v>84.437869579519969</v>
      </c>
    </row>
    <row r="6" spans="1:20" x14ac:dyDescent="0.4">
      <c r="A6" s="1">
        <v>4</v>
      </c>
      <c r="B6" s="21">
        <v>25.98</v>
      </c>
      <c r="C6" s="21">
        <v>21.9</v>
      </c>
      <c r="D6" s="21">
        <v>50.1</v>
      </c>
      <c r="E6" s="12"/>
      <c r="H6" s="38"/>
      <c r="I6" s="38"/>
      <c r="J6" s="38"/>
      <c r="K6" s="36"/>
      <c r="L6" s="36"/>
      <c r="M6" s="36"/>
      <c r="N6" s="2">
        <f t="shared" si="2"/>
        <v>9.9999999999960215E-5</v>
      </c>
      <c r="O6" s="2">
        <f t="shared" si="0"/>
        <v>3.9999999999998294E-4</v>
      </c>
      <c r="P6" s="2">
        <f t="shared" si="1"/>
        <v>4.0000000000012508E-4</v>
      </c>
      <c r="R6" s="33" t="s">
        <v>123</v>
      </c>
      <c r="S6" s="33"/>
    </row>
    <row r="7" spans="1:20" x14ac:dyDescent="0.4">
      <c r="A7" s="1">
        <v>5</v>
      </c>
      <c r="B7" s="21">
        <v>25.98</v>
      </c>
      <c r="C7" s="21">
        <v>21.94</v>
      </c>
      <c r="D7" s="21">
        <v>50.2</v>
      </c>
      <c r="E7" s="12"/>
      <c r="H7" s="38"/>
      <c r="I7" s="38"/>
      <c r="J7" s="38"/>
      <c r="K7" s="36"/>
      <c r="L7" s="36"/>
      <c r="M7" s="36"/>
      <c r="N7" s="2">
        <f t="shared" si="2"/>
        <v>9.9999999999960215E-5</v>
      </c>
      <c r="O7" s="2">
        <f t="shared" si="0"/>
        <v>3.6000000000002727E-3</v>
      </c>
      <c r="P7" s="2">
        <f t="shared" si="1"/>
        <v>1.4400000000001091E-2</v>
      </c>
      <c r="R7" s="22">
        <f>TranValue(R5,2)</f>
        <v>7738.55</v>
      </c>
      <c r="S7" s="16">
        <v>84.437869579519969</v>
      </c>
      <c r="T7" s="16" t="s">
        <v>159</v>
      </c>
    </row>
    <row r="8" spans="1:20" x14ac:dyDescent="0.4">
      <c r="A8" s="1">
        <v>6</v>
      </c>
      <c r="B8" s="21">
        <v>25.98</v>
      </c>
      <c r="C8" s="21">
        <v>21.98</v>
      </c>
      <c r="D8" s="21">
        <v>49.98</v>
      </c>
      <c r="E8" s="12"/>
      <c r="H8" s="38"/>
      <c r="I8" s="38"/>
      <c r="J8" s="38"/>
      <c r="K8" s="36"/>
      <c r="L8" s="36"/>
      <c r="M8" s="36"/>
      <c r="N8" s="2">
        <f t="shared" si="2"/>
        <v>9.9999999999960215E-5</v>
      </c>
      <c r="O8" s="2">
        <f t="shared" si="0"/>
        <v>1.0000000000000285E-2</v>
      </c>
      <c r="P8" s="2">
        <f t="shared" si="1"/>
        <v>1.0000000000000285E-2</v>
      </c>
    </row>
    <row r="9" spans="1:20" x14ac:dyDescent="0.4">
      <c r="A9" s="1">
        <v>7</v>
      </c>
      <c r="B9" s="21">
        <v>26</v>
      </c>
      <c r="C9" s="21">
        <v>21.8</v>
      </c>
      <c r="D9" s="21">
        <v>50</v>
      </c>
      <c r="E9" s="12"/>
      <c r="H9" s="38"/>
      <c r="I9" s="38"/>
      <c r="J9" s="38"/>
      <c r="K9" s="36"/>
      <c r="L9" s="36"/>
      <c r="M9" s="36"/>
      <c r="N9" s="2">
        <f t="shared" si="2"/>
        <v>1.0000000000003127E-4</v>
      </c>
      <c r="O9" s="2">
        <f t="shared" si="0"/>
        <v>6.3999999999997271E-3</v>
      </c>
      <c r="P9" s="2">
        <f t="shared" si="1"/>
        <v>6.3999999999997271E-3</v>
      </c>
      <c r="R9" s="33" t="s">
        <v>130</v>
      </c>
      <c r="S9" s="33"/>
    </row>
    <row r="10" spans="1:20" x14ac:dyDescent="0.4">
      <c r="A10" s="1">
        <v>8</v>
      </c>
      <c r="B10" s="21">
        <v>26</v>
      </c>
      <c r="C10" s="21">
        <v>21.82</v>
      </c>
      <c r="D10" s="21">
        <v>50</v>
      </c>
      <c r="E10" s="12"/>
      <c r="H10" s="38"/>
      <c r="I10" s="38"/>
      <c r="J10" s="38"/>
      <c r="K10" s="36"/>
      <c r="L10" s="36"/>
      <c r="M10" s="36"/>
      <c r="N10" s="2">
        <f t="shared" si="2"/>
        <v>1.0000000000003127E-4</v>
      </c>
      <c r="O10" s="2">
        <f t="shared" si="0"/>
        <v>3.5999999999998464E-3</v>
      </c>
      <c r="P10" s="2">
        <f t="shared" si="1"/>
        <v>6.3999999999997271E-3</v>
      </c>
      <c r="R10" s="33">
        <v>0.68300000000000005</v>
      </c>
      <c r="S10" s="33"/>
    </row>
    <row r="11" spans="1:20" x14ac:dyDescent="0.4">
      <c r="A11" s="1">
        <v>9</v>
      </c>
      <c r="B11" s="21">
        <v>25.98</v>
      </c>
      <c r="C11" s="21">
        <v>21.98</v>
      </c>
      <c r="D11" s="21">
        <v>50.22</v>
      </c>
      <c r="E11" s="12"/>
      <c r="H11" s="38"/>
      <c r="I11" s="38"/>
      <c r="J11" s="38"/>
      <c r="K11" s="36"/>
      <c r="L11" s="36"/>
      <c r="M11" s="36"/>
      <c r="N11" s="2">
        <f t="shared" si="2"/>
        <v>9.9999999999960215E-5</v>
      </c>
      <c r="O11" s="2">
        <f t="shared" si="0"/>
        <v>1.0000000000000285E-2</v>
      </c>
      <c r="P11" s="2">
        <f t="shared" si="1"/>
        <v>1.9600000000000159E-2</v>
      </c>
    </row>
    <row r="12" spans="1:20" x14ac:dyDescent="0.4">
      <c r="A12" s="1">
        <v>10</v>
      </c>
      <c r="B12" s="21">
        <v>26</v>
      </c>
      <c r="C12" s="21">
        <v>21.9</v>
      </c>
      <c r="D12" s="21">
        <v>50.26</v>
      </c>
      <c r="E12" s="12"/>
      <c r="H12" s="38"/>
      <c r="I12" s="38"/>
      <c r="J12" s="38"/>
      <c r="K12" s="36"/>
      <c r="L12" s="36"/>
      <c r="M12" s="36"/>
      <c r="N12" s="2">
        <f t="shared" si="2"/>
        <v>1.0000000000003127E-4</v>
      </c>
      <c r="O12" s="2">
        <f t="shared" si="0"/>
        <v>3.9999999999998294E-4</v>
      </c>
      <c r="P12" s="2">
        <f t="shared" si="1"/>
        <v>3.2399999999999901E-2</v>
      </c>
    </row>
    <row r="13" spans="1:20" x14ac:dyDescent="0.4">
      <c r="A13" s="1" t="s">
        <v>74</v>
      </c>
      <c r="B13" s="19">
        <f>AVERAGE(B3:B12)</f>
        <v>25.993999999999993</v>
      </c>
      <c r="C13" s="19">
        <f>AVERAGE(C3:C12)</f>
        <v>21.88</v>
      </c>
      <c r="D13" s="19">
        <f>AVERAGE(D3:D12)</f>
        <v>50.077999999999996</v>
      </c>
      <c r="E13" s="5"/>
      <c r="H13" s="3"/>
      <c r="I13" s="3"/>
      <c r="J13" s="3"/>
      <c r="K13" s="16" t="s">
        <v>105</v>
      </c>
      <c r="L13" s="16" t="s">
        <v>109</v>
      </c>
      <c r="M13" s="16" t="s">
        <v>71</v>
      </c>
      <c r="N13" s="35" t="s">
        <v>136</v>
      </c>
      <c r="O13" s="35"/>
      <c r="P13" s="35"/>
    </row>
    <row r="14" spans="1:20" x14ac:dyDescent="0.4">
      <c r="E14" s="5"/>
      <c r="I14" s="9"/>
      <c r="K14" s="28">
        <f>ROUNDUP(K3,2)</f>
        <v>0.02</v>
      </c>
      <c r="L14" s="28">
        <f t="shared" ref="L14:M14" si="3">ROUNDUP(L3,2)</f>
        <v>0.03</v>
      </c>
      <c r="M14" s="28">
        <f t="shared" si="3"/>
        <v>0.05</v>
      </c>
      <c r="N14" s="29">
        <f>SQRT(SUM(N3:N12)/($A$12*$A$11))</f>
        <v>4.4721359549996604E-3</v>
      </c>
      <c r="O14" s="29">
        <f t="shared" ref="O14:P14" si="4">SQRT(SUM(O3:O12)/($A$12*$A$11))</f>
        <v>2.3851391759997679E-2</v>
      </c>
      <c r="P14" s="29">
        <f t="shared" si="4"/>
        <v>3.6817870057290834E-2</v>
      </c>
    </row>
    <row r="15" spans="1:20" x14ac:dyDescent="0.4">
      <c r="A15" s="16" t="s">
        <v>89</v>
      </c>
      <c r="B15" s="20">
        <f>TranValue(B13,2)</f>
        <v>25.99</v>
      </c>
      <c r="C15" s="20">
        <f>TranValue(C13,2)</f>
        <v>21.88</v>
      </c>
      <c r="D15" s="20">
        <f>TranValue(D13,2)</f>
        <v>50.08</v>
      </c>
      <c r="E15" s="5"/>
      <c r="F15" s="5"/>
      <c r="G15" s="5"/>
      <c r="H15" s="5"/>
      <c r="I15" s="5"/>
      <c r="K15" s="16" t="s">
        <v>140</v>
      </c>
      <c r="L15" s="16" t="s">
        <v>144</v>
      </c>
      <c r="M15" s="16" t="s">
        <v>149</v>
      </c>
    </row>
    <row r="16" spans="1:20" x14ac:dyDescent="0.4">
      <c r="K16" s="31">
        <f>K$14/B$15</f>
        <v>7.6952674105425169E-4</v>
      </c>
      <c r="L16" s="31">
        <f t="shared" ref="L16:M16" si="5">L$14/C$15</f>
        <v>1.3711151736745886E-3</v>
      </c>
      <c r="M16" s="31">
        <f t="shared" si="5"/>
        <v>9.9840255591054331E-4</v>
      </c>
    </row>
    <row r="17" spans="1:15" x14ac:dyDescent="0.4">
      <c r="A17" s="34" t="s">
        <v>75</v>
      </c>
      <c r="B17" s="34"/>
      <c r="C17" s="34"/>
      <c r="D17" s="34"/>
      <c r="E17" s="34"/>
      <c r="F17" s="34"/>
    </row>
    <row r="18" spans="1:15" x14ac:dyDescent="0.4">
      <c r="A18" s="1" t="s">
        <v>63</v>
      </c>
      <c r="B18" s="1" t="s">
        <v>76</v>
      </c>
      <c r="C18" s="1" t="s">
        <v>77</v>
      </c>
      <c r="D18" s="1" t="s">
        <v>78</v>
      </c>
      <c r="E18" s="1" t="s">
        <v>85</v>
      </c>
      <c r="F18" s="1" t="s">
        <v>81</v>
      </c>
      <c r="H18" s="1" t="s">
        <v>67</v>
      </c>
      <c r="I18" s="1" t="s">
        <v>68</v>
      </c>
      <c r="J18" s="1" t="s">
        <v>69</v>
      </c>
      <c r="K18" s="1" t="s">
        <v>79</v>
      </c>
      <c r="L18" s="1" t="s">
        <v>80</v>
      </c>
      <c r="N18" s="37" t="s">
        <v>72</v>
      </c>
      <c r="O18" s="37"/>
    </row>
    <row r="19" spans="1:15" x14ac:dyDescent="0.4">
      <c r="A19" s="1">
        <v>1</v>
      </c>
      <c r="B19" s="26">
        <v>1.915</v>
      </c>
      <c r="C19" s="26">
        <v>0.15</v>
      </c>
      <c r="D19" s="26">
        <f>B19-$F$19</f>
        <v>1.9550000000000001</v>
      </c>
      <c r="E19" s="26">
        <f>C19-$F$19</f>
        <v>0.19</v>
      </c>
      <c r="F19" s="40">
        <v>-0.04</v>
      </c>
      <c r="H19" s="38">
        <v>4.0000000000000001E-3</v>
      </c>
      <c r="I19" s="38">
        <f>$H$19/SQRT(3)</f>
        <v>2.3094010767585032E-3</v>
      </c>
      <c r="J19" s="38">
        <v>1.06</v>
      </c>
      <c r="K19" s="36">
        <f>SQRT(($J$19*N30)^2+$I$19^2)</f>
        <v>3.2884653631206763E-3</v>
      </c>
      <c r="L19" s="36">
        <f>SQRT(($J$19*O30)^2+$I$19^2)</f>
        <v>3.1129414457140778E-3</v>
      </c>
      <c r="N19" s="6">
        <f>(D19-D$31)^2</f>
        <v>1.0000000000000018E-4</v>
      </c>
      <c r="O19" s="6">
        <f>(E19-E$31)^2</f>
        <v>1.4400000000000025E-4</v>
      </c>
    </row>
    <row r="20" spans="1:15" x14ac:dyDescent="0.4">
      <c r="A20" s="1">
        <v>2</v>
      </c>
      <c r="B20" s="26">
        <v>1.92</v>
      </c>
      <c r="C20" s="26">
        <v>0.16500000000000001</v>
      </c>
      <c r="D20" s="26">
        <f t="shared" ref="D20:E28" si="6">B20-$F$19</f>
        <v>1.96</v>
      </c>
      <c r="E20" s="26">
        <f t="shared" si="6"/>
        <v>0.20500000000000002</v>
      </c>
      <c r="F20" s="40"/>
      <c r="H20" s="38"/>
      <c r="I20" s="38"/>
      <c r="J20" s="38"/>
      <c r="K20" s="36"/>
      <c r="L20" s="36"/>
      <c r="N20" s="6">
        <f t="shared" ref="N20:O28" si="7">(D20-D$31)^2</f>
        <v>2.5000000000001153E-5</v>
      </c>
      <c r="O20" s="6">
        <f t="shared" si="7"/>
        <v>9.0000000000000155E-6</v>
      </c>
    </row>
    <row r="21" spans="1:15" x14ac:dyDescent="0.4">
      <c r="A21" s="1">
        <v>3</v>
      </c>
      <c r="B21" s="26">
        <v>1.93</v>
      </c>
      <c r="C21" s="26">
        <v>0.158</v>
      </c>
      <c r="D21" s="26">
        <f t="shared" si="6"/>
        <v>1.97</v>
      </c>
      <c r="E21" s="26">
        <f t="shared" si="6"/>
        <v>0.19800000000000001</v>
      </c>
      <c r="F21" s="40"/>
      <c r="H21" s="38"/>
      <c r="I21" s="38"/>
      <c r="J21" s="38"/>
      <c r="K21" s="36"/>
      <c r="L21" s="36"/>
      <c r="N21" s="6">
        <f t="shared" si="7"/>
        <v>2.4999999999998934E-5</v>
      </c>
      <c r="O21" s="6">
        <f t="shared" si="7"/>
        <v>1.600000000000003E-5</v>
      </c>
    </row>
    <row r="22" spans="1:15" x14ac:dyDescent="0.4">
      <c r="A22" s="1">
        <v>4</v>
      </c>
      <c r="B22" s="26">
        <v>1.915</v>
      </c>
      <c r="C22" s="26">
        <v>0.16800000000000001</v>
      </c>
      <c r="D22" s="26">
        <f t="shared" si="6"/>
        <v>1.9550000000000001</v>
      </c>
      <c r="E22" s="26">
        <f t="shared" si="6"/>
        <v>0.20800000000000002</v>
      </c>
      <c r="F22" s="40"/>
      <c r="H22" s="38"/>
      <c r="I22" s="38"/>
      <c r="J22" s="38"/>
      <c r="K22" s="36"/>
      <c r="L22" s="36"/>
      <c r="N22" s="6">
        <f t="shared" si="7"/>
        <v>1.0000000000000018E-4</v>
      </c>
      <c r="O22" s="6">
        <f t="shared" si="7"/>
        <v>3.6000000000000062E-5</v>
      </c>
    </row>
    <row r="23" spans="1:15" x14ac:dyDescent="0.4">
      <c r="A23" s="1">
        <v>5</v>
      </c>
      <c r="B23" s="26">
        <v>1.92</v>
      </c>
      <c r="C23" s="26">
        <v>0.155</v>
      </c>
      <c r="D23" s="26">
        <f t="shared" si="6"/>
        <v>1.96</v>
      </c>
      <c r="E23" s="26">
        <f t="shared" si="6"/>
        <v>0.19500000000000001</v>
      </c>
      <c r="F23" s="40"/>
      <c r="H23" s="38"/>
      <c r="I23" s="38"/>
      <c r="J23" s="38"/>
      <c r="K23" s="36"/>
      <c r="L23" s="36"/>
      <c r="N23" s="6">
        <f t="shared" si="7"/>
        <v>2.5000000000001153E-5</v>
      </c>
      <c r="O23" s="6">
        <f t="shared" si="7"/>
        <v>4.9000000000000087E-5</v>
      </c>
    </row>
    <row r="24" spans="1:15" x14ac:dyDescent="0.4">
      <c r="A24" s="1">
        <v>6</v>
      </c>
      <c r="B24" s="26">
        <v>1.925</v>
      </c>
      <c r="C24" s="26">
        <v>0.16600000000000001</v>
      </c>
      <c r="D24" s="26">
        <f t="shared" si="6"/>
        <v>1.9650000000000001</v>
      </c>
      <c r="E24" s="26">
        <f t="shared" si="6"/>
        <v>0.20600000000000002</v>
      </c>
      <c r="F24" s="40"/>
      <c r="H24" s="38"/>
      <c r="I24" s="38"/>
      <c r="J24" s="38"/>
      <c r="K24" s="36"/>
      <c r="L24" s="36"/>
      <c r="N24" s="6">
        <f t="shared" si="7"/>
        <v>0</v>
      </c>
      <c r="O24" s="6">
        <f t="shared" si="7"/>
        <v>1.600000000000003E-5</v>
      </c>
    </row>
    <row r="25" spans="1:15" x14ac:dyDescent="0.4">
      <c r="A25" s="1">
        <v>7</v>
      </c>
      <c r="B25" s="26">
        <v>1.9339999999999999</v>
      </c>
      <c r="C25" s="26">
        <v>0.16900000000000001</v>
      </c>
      <c r="D25" s="26">
        <f t="shared" si="6"/>
        <v>1.974</v>
      </c>
      <c r="E25" s="26">
        <f t="shared" si="6"/>
        <v>0.20900000000000002</v>
      </c>
      <c r="F25" s="40"/>
      <c r="H25" s="38"/>
      <c r="I25" s="38"/>
      <c r="J25" s="38"/>
      <c r="K25" s="36"/>
      <c r="L25" s="36"/>
      <c r="N25" s="6">
        <f t="shared" si="7"/>
        <v>8.0999999999998147E-5</v>
      </c>
      <c r="O25" s="6">
        <f t="shared" si="7"/>
        <v>4.9000000000000087E-5</v>
      </c>
    </row>
    <row r="26" spans="1:15" x14ac:dyDescent="0.4">
      <c r="A26" s="1">
        <v>8</v>
      </c>
      <c r="B26" s="26">
        <v>1.9319999999999999</v>
      </c>
      <c r="C26" s="26">
        <v>0.16700000000000001</v>
      </c>
      <c r="D26" s="26">
        <f t="shared" si="6"/>
        <v>1.972</v>
      </c>
      <c r="E26" s="26">
        <f t="shared" si="6"/>
        <v>0.20700000000000002</v>
      </c>
      <c r="F26" s="40"/>
      <c r="H26" s="38"/>
      <c r="I26" s="38"/>
      <c r="J26" s="38"/>
      <c r="K26" s="36"/>
      <c r="L26" s="36"/>
      <c r="N26" s="6">
        <f t="shared" si="7"/>
        <v>4.8999999999998535E-5</v>
      </c>
      <c r="O26" s="6">
        <f t="shared" si="7"/>
        <v>2.5000000000000045E-5</v>
      </c>
    </row>
    <row r="27" spans="1:15" x14ac:dyDescent="0.4">
      <c r="A27" s="1">
        <v>9</v>
      </c>
      <c r="B27" s="26">
        <v>1.9279999999999999</v>
      </c>
      <c r="C27" s="26">
        <v>0.16300000000000001</v>
      </c>
      <c r="D27" s="26">
        <f t="shared" si="6"/>
        <v>1.968</v>
      </c>
      <c r="E27" s="26">
        <f t="shared" si="6"/>
        <v>0.20300000000000001</v>
      </c>
      <c r="F27" s="40"/>
      <c r="H27" s="38"/>
      <c r="I27" s="38"/>
      <c r="J27" s="38"/>
      <c r="K27" s="36"/>
      <c r="L27" s="36"/>
      <c r="N27" s="6">
        <f t="shared" si="7"/>
        <v>8.9999999999993497E-6</v>
      </c>
      <c r="O27" s="6">
        <f t="shared" si="7"/>
        <v>1.0000000000000019E-6</v>
      </c>
    </row>
    <row r="28" spans="1:15" x14ac:dyDescent="0.4">
      <c r="A28" s="1">
        <v>10</v>
      </c>
      <c r="B28" s="26">
        <v>1.93</v>
      </c>
      <c r="C28" s="26">
        <v>0.16</v>
      </c>
      <c r="D28" s="26">
        <f t="shared" si="6"/>
        <v>1.97</v>
      </c>
      <c r="E28" s="26">
        <f t="shared" si="6"/>
        <v>0.2</v>
      </c>
      <c r="F28" s="40"/>
      <c r="H28" s="38"/>
      <c r="I28" s="38"/>
      <c r="J28" s="38"/>
      <c r="K28" s="36"/>
      <c r="L28" s="36"/>
      <c r="N28" s="6">
        <f t="shared" si="7"/>
        <v>2.4999999999998934E-5</v>
      </c>
      <c r="O28" s="6">
        <f t="shared" si="7"/>
        <v>4.0000000000000074E-6</v>
      </c>
    </row>
    <row r="29" spans="1:15" x14ac:dyDescent="0.4">
      <c r="A29" s="1" t="s">
        <v>74</v>
      </c>
      <c r="B29" s="27">
        <f>AVERAGE(B19:B28)</f>
        <v>1.9248999999999998</v>
      </c>
      <c r="C29" s="27">
        <f t="shared" ref="C29:E29" si="8">AVERAGE(C19:C28)</f>
        <v>0.16209999999999999</v>
      </c>
      <c r="D29" s="27">
        <f t="shared" si="8"/>
        <v>1.9649000000000001</v>
      </c>
      <c r="E29" s="27">
        <f t="shared" si="8"/>
        <v>0.20210000000000003</v>
      </c>
      <c r="F29" s="4"/>
      <c r="G29" s="13"/>
      <c r="K29" s="16" t="s">
        <v>79</v>
      </c>
      <c r="L29" s="16" t="s">
        <v>80</v>
      </c>
      <c r="N29" s="35" t="s">
        <v>73</v>
      </c>
      <c r="O29" s="35"/>
    </row>
    <row r="30" spans="1:15" x14ac:dyDescent="0.4">
      <c r="B30" s="4"/>
      <c r="C30" s="4"/>
      <c r="D30" s="4"/>
      <c r="E30" s="4"/>
      <c r="F30" s="4"/>
      <c r="G30" s="4"/>
      <c r="K30" s="25">
        <f t="shared" ref="K30:L30" si="9">ROUNDUP(K19,3)</f>
        <v>4.0000000000000001E-3</v>
      </c>
      <c r="L30" s="25">
        <f t="shared" si="9"/>
        <v>4.0000000000000001E-3</v>
      </c>
      <c r="N30" s="29">
        <f>SQRT(SUM(N19:N28)/($A$28*$A$27))</f>
        <v>2.2085691697969843E-3</v>
      </c>
      <c r="O30" s="29">
        <f>SQRT(SUM(O19:O28)/($A$28*$A$27))</f>
        <v>1.9692073983655924E-3</v>
      </c>
    </row>
    <row r="31" spans="1:15" x14ac:dyDescent="0.4">
      <c r="A31" s="16" t="s">
        <v>89</v>
      </c>
      <c r="B31" s="24"/>
      <c r="C31" s="24"/>
      <c r="D31" s="25">
        <f t="shared" ref="D31:E31" si="10">TranValue(D29,3)</f>
        <v>1.9650000000000001</v>
      </c>
      <c r="E31" s="25">
        <f t="shared" si="10"/>
        <v>0.20200000000000001</v>
      </c>
      <c r="F31" s="4"/>
      <c r="K31" s="16" t="s">
        <v>154</v>
      </c>
      <c r="L31" s="16" t="s">
        <v>156</v>
      </c>
    </row>
    <row r="32" spans="1:15" x14ac:dyDescent="0.4">
      <c r="K32" s="31">
        <f>K$30/D$31</f>
        <v>2.0356234096692112E-3</v>
      </c>
      <c r="L32" s="31">
        <f>L$30/E$31</f>
        <v>1.9801980198019802E-2</v>
      </c>
    </row>
  </sheetData>
  <mergeCells count="22">
    <mergeCell ref="A1:D1"/>
    <mergeCell ref="N2:P2"/>
    <mergeCell ref="H3:H12"/>
    <mergeCell ref="I3:I12"/>
    <mergeCell ref="J3:J12"/>
    <mergeCell ref="K3:K12"/>
    <mergeCell ref="L3:L12"/>
    <mergeCell ref="M3:M12"/>
    <mergeCell ref="A17:F17"/>
    <mergeCell ref="N18:O18"/>
    <mergeCell ref="H19:H28"/>
    <mergeCell ref="I19:I28"/>
    <mergeCell ref="J19:J28"/>
    <mergeCell ref="K19:K28"/>
    <mergeCell ref="F19:F28"/>
    <mergeCell ref="L19:L28"/>
    <mergeCell ref="R6:S6"/>
    <mergeCell ref="R4:S4"/>
    <mergeCell ref="R9:S9"/>
    <mergeCell ref="R10:S10"/>
    <mergeCell ref="N29:O29"/>
    <mergeCell ref="N13:P13"/>
  </mergeCells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基本测量</vt:lpstr>
      <vt:lpstr>小黄车</vt:lpstr>
      <vt:lpstr>意林</vt:lpstr>
      <vt:lpstr>板甲</vt:lpstr>
      <vt:lpstr>沐白</vt:lpstr>
      <vt:lpstr>马纸濵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2016-12-21T07:35:26Z</dcterms:modified>
</cp:coreProperties>
</file>